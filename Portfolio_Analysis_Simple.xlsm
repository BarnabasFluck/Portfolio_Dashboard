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nzoneveu/Desktop/Gestion de patrimoine Master/Courses/Empirical FInance/Presentation Group/"/>
    </mc:Choice>
  </mc:AlternateContent>
  <xr:revisionPtr revIDLastSave="0" documentId="13_ncr:1_{485DC2BB-708B-2544-BA1A-4037744E942F}" xr6:coauthVersionLast="47" xr6:coauthVersionMax="47" xr10:uidLastSave="{00000000-0000-0000-0000-000000000000}"/>
  <bookViews>
    <workbookView xWindow="0" yWindow="740" windowWidth="29400" windowHeight="18380" xr2:uid="{00000000-000D-0000-FFFF-FFFF00000000}"/>
  </bookViews>
  <sheets>
    <sheet name="Inputs" sheetId="1" r:id="rId1"/>
    <sheet name="Data" sheetId="2" r:id="rId2"/>
    <sheet name="Portfolio" sheetId="3" r:id="rId3"/>
    <sheet name="Valuation and Bond" sheetId="4" r:id="rId4"/>
    <sheet name="Risk" sheetId="5" r:id="rId5"/>
    <sheet name="Summary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2" l="1"/>
  <c r="A84" i="5"/>
  <c r="B80" i="5"/>
  <c r="B77" i="5"/>
  <c r="B76" i="5"/>
  <c r="B75" i="5"/>
  <c r="B71" i="5"/>
  <c r="B72" i="5" s="1"/>
  <c r="B63" i="5"/>
  <c r="B29" i="5"/>
  <c r="B25" i="5"/>
  <c r="B24" i="5"/>
  <c r="B20" i="5"/>
  <c r="B19" i="5"/>
  <c r="A12" i="5"/>
  <c r="A11" i="5"/>
  <c r="A10" i="5"/>
  <c r="A9" i="5"/>
  <c r="B64" i="4"/>
  <c r="B63" i="4"/>
  <c r="B62" i="4"/>
  <c r="B61" i="4"/>
  <c r="B60" i="4"/>
  <c r="B59" i="4"/>
  <c r="B58" i="4"/>
  <c r="B57" i="4"/>
  <c r="B56" i="4"/>
  <c r="B43" i="4"/>
  <c r="B44" i="4" s="1"/>
  <c r="B42" i="4"/>
  <c r="B45" i="4" s="1"/>
  <c r="B41" i="4"/>
  <c r="D10" i="4"/>
  <c r="C10" i="4"/>
  <c r="B10" i="4"/>
  <c r="D9" i="4"/>
  <c r="C9" i="4"/>
  <c r="B9" i="4"/>
  <c r="F24" i="3"/>
  <c r="F23" i="3"/>
  <c r="A19" i="3"/>
  <c r="A18" i="3"/>
  <c r="A17" i="3"/>
  <c r="A16" i="3"/>
  <c r="B9" i="3"/>
  <c r="A9" i="3"/>
  <c r="A28" i="6" s="1"/>
  <c r="B8" i="3"/>
  <c r="A8" i="3"/>
  <c r="A27" i="6" s="1"/>
  <c r="E7" i="3"/>
  <c r="B7" i="3"/>
  <c r="A7" i="3"/>
  <c r="A26" i="6" s="1"/>
  <c r="B6" i="3"/>
  <c r="A6" i="3"/>
  <c r="A25" i="6" s="1"/>
  <c r="L526" i="2"/>
  <c r="J526" i="2"/>
  <c r="I526" i="2"/>
  <c r="H526" i="2"/>
  <c r="L525" i="2"/>
  <c r="J525" i="2"/>
  <c r="I525" i="2"/>
  <c r="H525" i="2"/>
  <c r="L524" i="2"/>
  <c r="J524" i="2"/>
  <c r="I524" i="2"/>
  <c r="H524" i="2"/>
  <c r="L523" i="2"/>
  <c r="J523" i="2"/>
  <c r="I523" i="2"/>
  <c r="H523" i="2"/>
  <c r="L522" i="2"/>
  <c r="J522" i="2"/>
  <c r="I522" i="2"/>
  <c r="H522" i="2"/>
  <c r="L521" i="2"/>
  <c r="J521" i="2"/>
  <c r="I521" i="2"/>
  <c r="H521" i="2"/>
  <c r="L520" i="2"/>
  <c r="J520" i="2"/>
  <c r="I520" i="2"/>
  <c r="H520" i="2"/>
  <c r="L519" i="2"/>
  <c r="J519" i="2"/>
  <c r="I519" i="2"/>
  <c r="H519" i="2"/>
  <c r="L518" i="2"/>
  <c r="J518" i="2"/>
  <c r="I518" i="2"/>
  <c r="H518" i="2"/>
  <c r="L517" i="2"/>
  <c r="J517" i="2"/>
  <c r="I517" i="2"/>
  <c r="H517" i="2"/>
  <c r="L516" i="2"/>
  <c r="J516" i="2"/>
  <c r="I516" i="2"/>
  <c r="H516" i="2"/>
  <c r="L515" i="2"/>
  <c r="J515" i="2"/>
  <c r="I515" i="2"/>
  <c r="H515" i="2"/>
  <c r="L514" i="2"/>
  <c r="J514" i="2"/>
  <c r="I514" i="2"/>
  <c r="H514" i="2"/>
  <c r="L513" i="2"/>
  <c r="J513" i="2"/>
  <c r="I513" i="2"/>
  <c r="H513" i="2"/>
  <c r="L512" i="2"/>
  <c r="J512" i="2"/>
  <c r="I512" i="2"/>
  <c r="H512" i="2"/>
  <c r="L511" i="2"/>
  <c r="J511" i="2"/>
  <c r="I511" i="2"/>
  <c r="H511" i="2"/>
  <c r="L510" i="2"/>
  <c r="J510" i="2"/>
  <c r="I510" i="2"/>
  <c r="H510" i="2"/>
  <c r="L509" i="2"/>
  <c r="J509" i="2"/>
  <c r="I509" i="2"/>
  <c r="H509" i="2"/>
  <c r="L508" i="2"/>
  <c r="J508" i="2"/>
  <c r="I508" i="2"/>
  <c r="H508" i="2"/>
  <c r="L507" i="2"/>
  <c r="J507" i="2"/>
  <c r="I507" i="2"/>
  <c r="H507" i="2"/>
  <c r="L506" i="2"/>
  <c r="J506" i="2"/>
  <c r="I506" i="2"/>
  <c r="H506" i="2"/>
  <c r="L505" i="2"/>
  <c r="J505" i="2"/>
  <c r="I505" i="2"/>
  <c r="H505" i="2"/>
  <c r="L504" i="2"/>
  <c r="J504" i="2"/>
  <c r="I504" i="2"/>
  <c r="H504" i="2"/>
  <c r="L503" i="2"/>
  <c r="J503" i="2"/>
  <c r="I503" i="2"/>
  <c r="H503" i="2"/>
  <c r="L502" i="2"/>
  <c r="J502" i="2"/>
  <c r="I502" i="2"/>
  <c r="H502" i="2"/>
  <c r="L501" i="2"/>
  <c r="J501" i="2"/>
  <c r="I501" i="2"/>
  <c r="H501" i="2"/>
  <c r="L500" i="2"/>
  <c r="J500" i="2"/>
  <c r="I500" i="2"/>
  <c r="H500" i="2"/>
  <c r="L499" i="2"/>
  <c r="J499" i="2"/>
  <c r="I499" i="2"/>
  <c r="H499" i="2"/>
  <c r="L498" i="2"/>
  <c r="J498" i="2"/>
  <c r="I498" i="2"/>
  <c r="H498" i="2"/>
  <c r="L497" i="2"/>
  <c r="J497" i="2"/>
  <c r="I497" i="2"/>
  <c r="H497" i="2"/>
  <c r="L496" i="2"/>
  <c r="J496" i="2"/>
  <c r="I496" i="2"/>
  <c r="H496" i="2"/>
  <c r="L495" i="2"/>
  <c r="J495" i="2"/>
  <c r="I495" i="2"/>
  <c r="H495" i="2"/>
  <c r="L494" i="2"/>
  <c r="J494" i="2"/>
  <c r="I494" i="2"/>
  <c r="H494" i="2"/>
  <c r="L493" i="2"/>
  <c r="J493" i="2"/>
  <c r="I493" i="2"/>
  <c r="H493" i="2"/>
  <c r="L492" i="2"/>
  <c r="J492" i="2"/>
  <c r="I492" i="2"/>
  <c r="H492" i="2"/>
  <c r="L491" i="2"/>
  <c r="J491" i="2"/>
  <c r="I491" i="2"/>
  <c r="H491" i="2"/>
  <c r="L490" i="2"/>
  <c r="J490" i="2"/>
  <c r="I490" i="2"/>
  <c r="H490" i="2"/>
  <c r="L489" i="2"/>
  <c r="J489" i="2"/>
  <c r="I489" i="2"/>
  <c r="H489" i="2"/>
  <c r="L488" i="2"/>
  <c r="J488" i="2"/>
  <c r="I488" i="2"/>
  <c r="H488" i="2"/>
  <c r="L487" i="2"/>
  <c r="J487" i="2"/>
  <c r="I487" i="2"/>
  <c r="H487" i="2"/>
  <c r="L486" i="2"/>
  <c r="J486" i="2"/>
  <c r="I486" i="2"/>
  <c r="H486" i="2"/>
  <c r="L485" i="2"/>
  <c r="J485" i="2"/>
  <c r="I485" i="2"/>
  <c r="H485" i="2"/>
  <c r="L484" i="2"/>
  <c r="J484" i="2"/>
  <c r="I484" i="2"/>
  <c r="H484" i="2"/>
  <c r="L483" i="2"/>
  <c r="J483" i="2"/>
  <c r="I483" i="2"/>
  <c r="H483" i="2"/>
  <c r="L482" i="2"/>
  <c r="J482" i="2"/>
  <c r="I482" i="2"/>
  <c r="H482" i="2"/>
  <c r="L481" i="2"/>
  <c r="J481" i="2"/>
  <c r="I481" i="2"/>
  <c r="H481" i="2"/>
  <c r="L480" i="2"/>
  <c r="J480" i="2"/>
  <c r="I480" i="2"/>
  <c r="H480" i="2"/>
  <c r="L479" i="2"/>
  <c r="J479" i="2"/>
  <c r="I479" i="2"/>
  <c r="H479" i="2"/>
  <c r="L478" i="2"/>
  <c r="J478" i="2"/>
  <c r="I478" i="2"/>
  <c r="H478" i="2"/>
  <c r="L477" i="2"/>
  <c r="J477" i="2"/>
  <c r="I477" i="2"/>
  <c r="H477" i="2"/>
  <c r="L476" i="2"/>
  <c r="J476" i="2"/>
  <c r="I476" i="2"/>
  <c r="H476" i="2"/>
  <c r="L475" i="2"/>
  <c r="J475" i="2"/>
  <c r="I475" i="2"/>
  <c r="H475" i="2"/>
  <c r="L474" i="2"/>
  <c r="J474" i="2"/>
  <c r="I474" i="2"/>
  <c r="H474" i="2"/>
  <c r="L473" i="2"/>
  <c r="J473" i="2"/>
  <c r="I473" i="2"/>
  <c r="H473" i="2"/>
  <c r="L472" i="2"/>
  <c r="J472" i="2"/>
  <c r="I472" i="2"/>
  <c r="H472" i="2"/>
  <c r="L471" i="2"/>
  <c r="J471" i="2"/>
  <c r="I471" i="2"/>
  <c r="H471" i="2"/>
  <c r="L470" i="2"/>
  <c r="J470" i="2"/>
  <c r="I470" i="2"/>
  <c r="H470" i="2"/>
  <c r="L469" i="2"/>
  <c r="J469" i="2"/>
  <c r="I469" i="2"/>
  <c r="H469" i="2"/>
  <c r="L468" i="2"/>
  <c r="J468" i="2"/>
  <c r="I468" i="2"/>
  <c r="H468" i="2"/>
  <c r="L467" i="2"/>
  <c r="J467" i="2"/>
  <c r="I467" i="2"/>
  <c r="H467" i="2"/>
  <c r="L466" i="2"/>
  <c r="J466" i="2"/>
  <c r="I466" i="2"/>
  <c r="H466" i="2"/>
  <c r="L465" i="2"/>
  <c r="J465" i="2"/>
  <c r="I465" i="2"/>
  <c r="H465" i="2"/>
  <c r="L464" i="2"/>
  <c r="J464" i="2"/>
  <c r="I464" i="2"/>
  <c r="H464" i="2"/>
  <c r="L463" i="2"/>
  <c r="J463" i="2"/>
  <c r="I463" i="2"/>
  <c r="H463" i="2"/>
  <c r="L462" i="2"/>
  <c r="J462" i="2"/>
  <c r="I462" i="2"/>
  <c r="H462" i="2"/>
  <c r="L461" i="2"/>
  <c r="J461" i="2"/>
  <c r="I461" i="2"/>
  <c r="H461" i="2"/>
  <c r="L460" i="2"/>
  <c r="J460" i="2"/>
  <c r="I460" i="2"/>
  <c r="H460" i="2"/>
  <c r="L459" i="2"/>
  <c r="J459" i="2"/>
  <c r="I459" i="2"/>
  <c r="H459" i="2"/>
  <c r="L458" i="2"/>
  <c r="J458" i="2"/>
  <c r="I458" i="2"/>
  <c r="H458" i="2"/>
  <c r="L457" i="2"/>
  <c r="J457" i="2"/>
  <c r="I457" i="2"/>
  <c r="H457" i="2"/>
  <c r="L456" i="2"/>
  <c r="J456" i="2"/>
  <c r="I456" i="2"/>
  <c r="H456" i="2"/>
  <c r="L455" i="2"/>
  <c r="J455" i="2"/>
  <c r="I455" i="2"/>
  <c r="H455" i="2"/>
  <c r="L454" i="2"/>
  <c r="J454" i="2"/>
  <c r="I454" i="2"/>
  <c r="H454" i="2"/>
  <c r="L453" i="2"/>
  <c r="J453" i="2"/>
  <c r="I453" i="2"/>
  <c r="H453" i="2"/>
  <c r="L452" i="2"/>
  <c r="J452" i="2"/>
  <c r="I452" i="2"/>
  <c r="H452" i="2"/>
  <c r="L451" i="2"/>
  <c r="J451" i="2"/>
  <c r="I451" i="2"/>
  <c r="H451" i="2"/>
  <c r="L450" i="2"/>
  <c r="J450" i="2"/>
  <c r="I450" i="2"/>
  <c r="H450" i="2"/>
  <c r="L449" i="2"/>
  <c r="J449" i="2"/>
  <c r="I449" i="2"/>
  <c r="H449" i="2"/>
  <c r="L448" i="2"/>
  <c r="J448" i="2"/>
  <c r="I448" i="2"/>
  <c r="H448" i="2"/>
  <c r="L447" i="2"/>
  <c r="J447" i="2"/>
  <c r="I447" i="2"/>
  <c r="H447" i="2"/>
  <c r="L446" i="2"/>
  <c r="J446" i="2"/>
  <c r="I446" i="2"/>
  <c r="H446" i="2"/>
  <c r="L445" i="2"/>
  <c r="J445" i="2"/>
  <c r="I445" i="2"/>
  <c r="H445" i="2"/>
  <c r="L444" i="2"/>
  <c r="J444" i="2"/>
  <c r="I444" i="2"/>
  <c r="H444" i="2"/>
  <c r="L443" i="2"/>
  <c r="J443" i="2"/>
  <c r="I443" i="2"/>
  <c r="H443" i="2"/>
  <c r="L442" i="2"/>
  <c r="J442" i="2"/>
  <c r="I442" i="2"/>
  <c r="H442" i="2"/>
  <c r="L441" i="2"/>
  <c r="J441" i="2"/>
  <c r="I441" i="2"/>
  <c r="H441" i="2"/>
  <c r="L440" i="2"/>
  <c r="J440" i="2"/>
  <c r="I440" i="2"/>
  <c r="H440" i="2"/>
  <c r="L439" i="2"/>
  <c r="J439" i="2"/>
  <c r="I439" i="2"/>
  <c r="H439" i="2"/>
  <c r="L438" i="2"/>
  <c r="J438" i="2"/>
  <c r="I438" i="2"/>
  <c r="H438" i="2"/>
  <c r="L437" i="2"/>
  <c r="J437" i="2"/>
  <c r="I437" i="2"/>
  <c r="H437" i="2"/>
  <c r="L436" i="2"/>
  <c r="J436" i="2"/>
  <c r="I436" i="2"/>
  <c r="H436" i="2"/>
  <c r="L435" i="2"/>
  <c r="J435" i="2"/>
  <c r="I435" i="2"/>
  <c r="H435" i="2"/>
  <c r="L434" i="2"/>
  <c r="J434" i="2"/>
  <c r="I434" i="2"/>
  <c r="H434" i="2"/>
  <c r="L433" i="2"/>
  <c r="J433" i="2"/>
  <c r="I433" i="2"/>
  <c r="H433" i="2"/>
  <c r="L432" i="2"/>
  <c r="J432" i="2"/>
  <c r="I432" i="2"/>
  <c r="H432" i="2"/>
  <c r="L431" i="2"/>
  <c r="J431" i="2"/>
  <c r="I431" i="2"/>
  <c r="H431" i="2"/>
  <c r="L430" i="2"/>
  <c r="J430" i="2"/>
  <c r="I430" i="2"/>
  <c r="H430" i="2"/>
  <c r="L429" i="2"/>
  <c r="J429" i="2"/>
  <c r="I429" i="2"/>
  <c r="H429" i="2"/>
  <c r="L428" i="2"/>
  <c r="J428" i="2"/>
  <c r="I428" i="2"/>
  <c r="H428" i="2"/>
  <c r="L427" i="2"/>
  <c r="J427" i="2"/>
  <c r="I427" i="2"/>
  <c r="H427" i="2"/>
  <c r="L426" i="2"/>
  <c r="J426" i="2"/>
  <c r="I426" i="2"/>
  <c r="H426" i="2"/>
  <c r="L425" i="2"/>
  <c r="J425" i="2"/>
  <c r="I425" i="2"/>
  <c r="H425" i="2"/>
  <c r="L424" i="2"/>
  <c r="J424" i="2"/>
  <c r="I424" i="2"/>
  <c r="H424" i="2"/>
  <c r="L423" i="2"/>
  <c r="J423" i="2"/>
  <c r="I423" i="2"/>
  <c r="H423" i="2"/>
  <c r="L422" i="2"/>
  <c r="J422" i="2"/>
  <c r="I422" i="2"/>
  <c r="H422" i="2"/>
  <c r="L421" i="2"/>
  <c r="J421" i="2"/>
  <c r="I421" i="2"/>
  <c r="H421" i="2"/>
  <c r="L420" i="2"/>
  <c r="J420" i="2"/>
  <c r="I420" i="2"/>
  <c r="H420" i="2"/>
  <c r="L419" i="2"/>
  <c r="J419" i="2"/>
  <c r="I419" i="2"/>
  <c r="H419" i="2"/>
  <c r="L418" i="2"/>
  <c r="J418" i="2"/>
  <c r="I418" i="2"/>
  <c r="H418" i="2"/>
  <c r="L417" i="2"/>
  <c r="J417" i="2"/>
  <c r="I417" i="2"/>
  <c r="H417" i="2"/>
  <c r="L416" i="2"/>
  <c r="J416" i="2"/>
  <c r="I416" i="2"/>
  <c r="H416" i="2"/>
  <c r="L415" i="2"/>
  <c r="J415" i="2"/>
  <c r="I415" i="2"/>
  <c r="H415" i="2"/>
  <c r="L414" i="2"/>
  <c r="J414" i="2"/>
  <c r="I414" i="2"/>
  <c r="H414" i="2"/>
  <c r="L413" i="2"/>
  <c r="J413" i="2"/>
  <c r="I413" i="2"/>
  <c r="H413" i="2"/>
  <c r="L412" i="2"/>
  <c r="J412" i="2"/>
  <c r="I412" i="2"/>
  <c r="H412" i="2"/>
  <c r="L411" i="2"/>
  <c r="J411" i="2"/>
  <c r="I411" i="2"/>
  <c r="H411" i="2"/>
  <c r="L410" i="2"/>
  <c r="J410" i="2"/>
  <c r="I410" i="2"/>
  <c r="H410" i="2"/>
  <c r="L409" i="2"/>
  <c r="J409" i="2"/>
  <c r="I409" i="2"/>
  <c r="H409" i="2"/>
  <c r="L408" i="2"/>
  <c r="J408" i="2"/>
  <c r="I408" i="2"/>
  <c r="H408" i="2"/>
  <c r="L407" i="2"/>
  <c r="J407" i="2"/>
  <c r="I407" i="2"/>
  <c r="H407" i="2"/>
  <c r="L406" i="2"/>
  <c r="J406" i="2"/>
  <c r="I406" i="2"/>
  <c r="H406" i="2"/>
  <c r="L405" i="2"/>
  <c r="J405" i="2"/>
  <c r="I405" i="2"/>
  <c r="H405" i="2"/>
  <c r="L404" i="2"/>
  <c r="J404" i="2"/>
  <c r="I404" i="2"/>
  <c r="H404" i="2"/>
  <c r="L403" i="2"/>
  <c r="J403" i="2"/>
  <c r="I403" i="2"/>
  <c r="H403" i="2"/>
  <c r="L402" i="2"/>
  <c r="J402" i="2"/>
  <c r="I402" i="2"/>
  <c r="H402" i="2"/>
  <c r="L401" i="2"/>
  <c r="J401" i="2"/>
  <c r="I401" i="2"/>
  <c r="H401" i="2"/>
  <c r="L400" i="2"/>
  <c r="J400" i="2"/>
  <c r="I400" i="2"/>
  <c r="H400" i="2"/>
  <c r="L399" i="2"/>
  <c r="J399" i="2"/>
  <c r="I399" i="2"/>
  <c r="H399" i="2"/>
  <c r="L398" i="2"/>
  <c r="J398" i="2"/>
  <c r="I398" i="2"/>
  <c r="H398" i="2"/>
  <c r="L397" i="2"/>
  <c r="J397" i="2"/>
  <c r="I397" i="2"/>
  <c r="H397" i="2"/>
  <c r="L396" i="2"/>
  <c r="J396" i="2"/>
  <c r="I396" i="2"/>
  <c r="H396" i="2"/>
  <c r="L395" i="2"/>
  <c r="J395" i="2"/>
  <c r="I395" i="2"/>
  <c r="H395" i="2"/>
  <c r="L394" i="2"/>
  <c r="J394" i="2"/>
  <c r="I394" i="2"/>
  <c r="H394" i="2"/>
  <c r="L393" i="2"/>
  <c r="J393" i="2"/>
  <c r="I393" i="2"/>
  <c r="H393" i="2"/>
  <c r="L392" i="2"/>
  <c r="J392" i="2"/>
  <c r="I392" i="2"/>
  <c r="H392" i="2"/>
  <c r="L391" i="2"/>
  <c r="J391" i="2"/>
  <c r="I391" i="2"/>
  <c r="H391" i="2"/>
  <c r="L390" i="2"/>
  <c r="J390" i="2"/>
  <c r="I390" i="2"/>
  <c r="H390" i="2"/>
  <c r="L389" i="2"/>
  <c r="J389" i="2"/>
  <c r="I389" i="2"/>
  <c r="H389" i="2"/>
  <c r="L388" i="2"/>
  <c r="J388" i="2"/>
  <c r="I388" i="2"/>
  <c r="H388" i="2"/>
  <c r="L387" i="2"/>
  <c r="J387" i="2"/>
  <c r="I387" i="2"/>
  <c r="H387" i="2"/>
  <c r="L386" i="2"/>
  <c r="J386" i="2"/>
  <c r="I386" i="2"/>
  <c r="H386" i="2"/>
  <c r="L385" i="2"/>
  <c r="J385" i="2"/>
  <c r="I385" i="2"/>
  <c r="H385" i="2"/>
  <c r="L384" i="2"/>
  <c r="J384" i="2"/>
  <c r="I384" i="2"/>
  <c r="H384" i="2"/>
  <c r="L383" i="2"/>
  <c r="J383" i="2"/>
  <c r="I383" i="2"/>
  <c r="H383" i="2"/>
  <c r="L382" i="2"/>
  <c r="J382" i="2"/>
  <c r="I382" i="2"/>
  <c r="H382" i="2"/>
  <c r="L381" i="2"/>
  <c r="J381" i="2"/>
  <c r="I381" i="2"/>
  <c r="H381" i="2"/>
  <c r="L380" i="2"/>
  <c r="J380" i="2"/>
  <c r="I380" i="2"/>
  <c r="H380" i="2"/>
  <c r="L379" i="2"/>
  <c r="J379" i="2"/>
  <c r="I379" i="2"/>
  <c r="H379" i="2"/>
  <c r="L378" i="2"/>
  <c r="J378" i="2"/>
  <c r="I378" i="2"/>
  <c r="H378" i="2"/>
  <c r="L377" i="2"/>
  <c r="J377" i="2"/>
  <c r="I377" i="2"/>
  <c r="H377" i="2"/>
  <c r="L376" i="2"/>
  <c r="J376" i="2"/>
  <c r="I376" i="2"/>
  <c r="H376" i="2"/>
  <c r="L375" i="2"/>
  <c r="J375" i="2"/>
  <c r="I375" i="2"/>
  <c r="H375" i="2"/>
  <c r="L374" i="2"/>
  <c r="J374" i="2"/>
  <c r="I374" i="2"/>
  <c r="H374" i="2"/>
  <c r="L373" i="2"/>
  <c r="J373" i="2"/>
  <c r="I373" i="2"/>
  <c r="H373" i="2"/>
  <c r="L372" i="2"/>
  <c r="J372" i="2"/>
  <c r="I372" i="2"/>
  <c r="H372" i="2"/>
  <c r="L371" i="2"/>
  <c r="J371" i="2"/>
  <c r="I371" i="2"/>
  <c r="H371" i="2"/>
  <c r="L370" i="2"/>
  <c r="J370" i="2"/>
  <c r="I370" i="2"/>
  <c r="H370" i="2"/>
  <c r="L369" i="2"/>
  <c r="J369" i="2"/>
  <c r="I369" i="2"/>
  <c r="H369" i="2"/>
  <c r="L368" i="2"/>
  <c r="J368" i="2"/>
  <c r="I368" i="2"/>
  <c r="H368" i="2"/>
  <c r="L367" i="2"/>
  <c r="J367" i="2"/>
  <c r="I367" i="2"/>
  <c r="H367" i="2"/>
  <c r="L366" i="2"/>
  <c r="J366" i="2"/>
  <c r="I366" i="2"/>
  <c r="H366" i="2"/>
  <c r="L365" i="2"/>
  <c r="J365" i="2"/>
  <c r="I365" i="2"/>
  <c r="H365" i="2"/>
  <c r="L364" i="2"/>
  <c r="J364" i="2"/>
  <c r="I364" i="2"/>
  <c r="H364" i="2"/>
  <c r="L363" i="2"/>
  <c r="J363" i="2"/>
  <c r="I363" i="2"/>
  <c r="H363" i="2"/>
  <c r="L362" i="2"/>
  <c r="J362" i="2"/>
  <c r="I362" i="2"/>
  <c r="H362" i="2"/>
  <c r="L361" i="2"/>
  <c r="J361" i="2"/>
  <c r="I361" i="2"/>
  <c r="H361" i="2"/>
  <c r="L360" i="2"/>
  <c r="J360" i="2"/>
  <c r="I360" i="2"/>
  <c r="H360" i="2"/>
  <c r="L359" i="2"/>
  <c r="J359" i="2"/>
  <c r="I359" i="2"/>
  <c r="H359" i="2"/>
  <c r="L358" i="2"/>
  <c r="J358" i="2"/>
  <c r="I358" i="2"/>
  <c r="H358" i="2"/>
  <c r="L357" i="2"/>
  <c r="J357" i="2"/>
  <c r="I357" i="2"/>
  <c r="H357" i="2"/>
  <c r="L356" i="2"/>
  <c r="J356" i="2"/>
  <c r="I356" i="2"/>
  <c r="H356" i="2"/>
  <c r="L355" i="2"/>
  <c r="J355" i="2"/>
  <c r="I355" i="2"/>
  <c r="H355" i="2"/>
  <c r="L354" i="2"/>
  <c r="J354" i="2"/>
  <c r="I354" i="2"/>
  <c r="H354" i="2"/>
  <c r="L353" i="2"/>
  <c r="J353" i="2"/>
  <c r="I353" i="2"/>
  <c r="H353" i="2"/>
  <c r="L352" i="2"/>
  <c r="J352" i="2"/>
  <c r="I352" i="2"/>
  <c r="H352" i="2"/>
  <c r="L351" i="2"/>
  <c r="J351" i="2"/>
  <c r="I351" i="2"/>
  <c r="H351" i="2"/>
  <c r="L350" i="2"/>
  <c r="J350" i="2"/>
  <c r="I350" i="2"/>
  <c r="H350" i="2"/>
  <c r="L349" i="2"/>
  <c r="J349" i="2"/>
  <c r="I349" i="2"/>
  <c r="H349" i="2"/>
  <c r="L348" i="2"/>
  <c r="J348" i="2"/>
  <c r="I348" i="2"/>
  <c r="H348" i="2"/>
  <c r="L347" i="2"/>
  <c r="J347" i="2"/>
  <c r="I347" i="2"/>
  <c r="H347" i="2"/>
  <c r="L346" i="2"/>
  <c r="J346" i="2"/>
  <c r="I346" i="2"/>
  <c r="H346" i="2"/>
  <c r="L345" i="2"/>
  <c r="J345" i="2"/>
  <c r="I345" i="2"/>
  <c r="H345" i="2"/>
  <c r="L344" i="2"/>
  <c r="J344" i="2"/>
  <c r="I344" i="2"/>
  <c r="H344" i="2"/>
  <c r="L343" i="2"/>
  <c r="J343" i="2"/>
  <c r="I343" i="2"/>
  <c r="H343" i="2"/>
  <c r="L342" i="2"/>
  <c r="J342" i="2"/>
  <c r="I342" i="2"/>
  <c r="H342" i="2"/>
  <c r="L341" i="2"/>
  <c r="J341" i="2"/>
  <c r="I341" i="2"/>
  <c r="H341" i="2"/>
  <c r="L340" i="2"/>
  <c r="J340" i="2"/>
  <c r="I340" i="2"/>
  <c r="H340" i="2"/>
  <c r="L339" i="2"/>
  <c r="J339" i="2"/>
  <c r="I339" i="2"/>
  <c r="H339" i="2"/>
  <c r="L338" i="2"/>
  <c r="J338" i="2"/>
  <c r="I338" i="2"/>
  <c r="H338" i="2"/>
  <c r="L337" i="2"/>
  <c r="J337" i="2"/>
  <c r="I337" i="2"/>
  <c r="H337" i="2"/>
  <c r="L336" i="2"/>
  <c r="J336" i="2"/>
  <c r="I336" i="2"/>
  <c r="H336" i="2"/>
  <c r="L335" i="2"/>
  <c r="J335" i="2"/>
  <c r="I335" i="2"/>
  <c r="H335" i="2"/>
  <c r="L334" i="2"/>
  <c r="J334" i="2"/>
  <c r="I334" i="2"/>
  <c r="H334" i="2"/>
  <c r="L333" i="2"/>
  <c r="J333" i="2"/>
  <c r="I333" i="2"/>
  <c r="H333" i="2"/>
  <c r="L332" i="2"/>
  <c r="J332" i="2"/>
  <c r="I332" i="2"/>
  <c r="H332" i="2"/>
  <c r="L331" i="2"/>
  <c r="J331" i="2"/>
  <c r="I331" i="2"/>
  <c r="H331" i="2"/>
  <c r="L330" i="2"/>
  <c r="J330" i="2"/>
  <c r="I330" i="2"/>
  <c r="H330" i="2"/>
  <c r="L329" i="2"/>
  <c r="J329" i="2"/>
  <c r="I329" i="2"/>
  <c r="H329" i="2"/>
  <c r="L328" i="2"/>
  <c r="J328" i="2"/>
  <c r="I328" i="2"/>
  <c r="H328" i="2"/>
  <c r="L327" i="2"/>
  <c r="J327" i="2"/>
  <c r="I327" i="2"/>
  <c r="H327" i="2"/>
  <c r="L326" i="2"/>
  <c r="J326" i="2"/>
  <c r="I326" i="2"/>
  <c r="H326" i="2"/>
  <c r="L325" i="2"/>
  <c r="J325" i="2"/>
  <c r="I325" i="2"/>
  <c r="H325" i="2"/>
  <c r="L324" i="2"/>
  <c r="J324" i="2"/>
  <c r="I324" i="2"/>
  <c r="H324" i="2"/>
  <c r="L323" i="2"/>
  <c r="J323" i="2"/>
  <c r="I323" i="2"/>
  <c r="H323" i="2"/>
  <c r="L322" i="2"/>
  <c r="J322" i="2"/>
  <c r="I322" i="2"/>
  <c r="H322" i="2"/>
  <c r="L321" i="2"/>
  <c r="J321" i="2"/>
  <c r="I321" i="2"/>
  <c r="H321" i="2"/>
  <c r="L320" i="2"/>
  <c r="J320" i="2"/>
  <c r="I320" i="2"/>
  <c r="H320" i="2"/>
  <c r="L319" i="2"/>
  <c r="J319" i="2"/>
  <c r="I319" i="2"/>
  <c r="H319" i="2"/>
  <c r="L318" i="2"/>
  <c r="J318" i="2"/>
  <c r="I318" i="2"/>
  <c r="H318" i="2"/>
  <c r="L317" i="2"/>
  <c r="J317" i="2"/>
  <c r="I317" i="2"/>
  <c r="H317" i="2"/>
  <c r="L316" i="2"/>
  <c r="J316" i="2"/>
  <c r="I316" i="2"/>
  <c r="H316" i="2"/>
  <c r="L315" i="2"/>
  <c r="J315" i="2"/>
  <c r="I315" i="2"/>
  <c r="H315" i="2"/>
  <c r="L314" i="2"/>
  <c r="J314" i="2"/>
  <c r="I314" i="2"/>
  <c r="H314" i="2"/>
  <c r="L313" i="2"/>
  <c r="J313" i="2"/>
  <c r="I313" i="2"/>
  <c r="H313" i="2"/>
  <c r="L312" i="2"/>
  <c r="J312" i="2"/>
  <c r="I312" i="2"/>
  <c r="H312" i="2"/>
  <c r="L311" i="2"/>
  <c r="J311" i="2"/>
  <c r="I311" i="2"/>
  <c r="H311" i="2"/>
  <c r="L310" i="2"/>
  <c r="J310" i="2"/>
  <c r="I310" i="2"/>
  <c r="H310" i="2"/>
  <c r="L309" i="2"/>
  <c r="J309" i="2"/>
  <c r="I309" i="2"/>
  <c r="H309" i="2"/>
  <c r="L308" i="2"/>
  <c r="J308" i="2"/>
  <c r="I308" i="2"/>
  <c r="H308" i="2"/>
  <c r="L307" i="2"/>
  <c r="J307" i="2"/>
  <c r="I307" i="2"/>
  <c r="H307" i="2"/>
  <c r="L306" i="2"/>
  <c r="J306" i="2"/>
  <c r="I306" i="2"/>
  <c r="H306" i="2"/>
  <c r="L305" i="2"/>
  <c r="J305" i="2"/>
  <c r="I305" i="2"/>
  <c r="H305" i="2"/>
  <c r="L304" i="2"/>
  <c r="J304" i="2"/>
  <c r="I304" i="2"/>
  <c r="H304" i="2"/>
  <c r="L303" i="2"/>
  <c r="J303" i="2"/>
  <c r="I303" i="2"/>
  <c r="H303" i="2"/>
  <c r="L302" i="2"/>
  <c r="J302" i="2"/>
  <c r="I302" i="2"/>
  <c r="H302" i="2"/>
  <c r="L301" i="2"/>
  <c r="J301" i="2"/>
  <c r="I301" i="2"/>
  <c r="H301" i="2"/>
  <c r="L300" i="2"/>
  <c r="J300" i="2"/>
  <c r="I300" i="2"/>
  <c r="H300" i="2"/>
  <c r="L299" i="2"/>
  <c r="J299" i="2"/>
  <c r="I299" i="2"/>
  <c r="H299" i="2"/>
  <c r="L298" i="2"/>
  <c r="J298" i="2"/>
  <c r="I298" i="2"/>
  <c r="H298" i="2"/>
  <c r="L297" i="2"/>
  <c r="J297" i="2"/>
  <c r="I297" i="2"/>
  <c r="H297" i="2"/>
  <c r="L296" i="2"/>
  <c r="J296" i="2"/>
  <c r="I296" i="2"/>
  <c r="H296" i="2"/>
  <c r="L295" i="2"/>
  <c r="J295" i="2"/>
  <c r="I295" i="2"/>
  <c r="H295" i="2"/>
  <c r="L294" i="2"/>
  <c r="J294" i="2"/>
  <c r="I294" i="2"/>
  <c r="H294" i="2"/>
  <c r="L293" i="2"/>
  <c r="J293" i="2"/>
  <c r="I293" i="2"/>
  <c r="H293" i="2"/>
  <c r="L292" i="2"/>
  <c r="J292" i="2"/>
  <c r="I292" i="2"/>
  <c r="H292" i="2"/>
  <c r="L291" i="2"/>
  <c r="J291" i="2"/>
  <c r="I291" i="2"/>
  <c r="H291" i="2"/>
  <c r="L290" i="2"/>
  <c r="J290" i="2"/>
  <c r="I290" i="2"/>
  <c r="H290" i="2"/>
  <c r="L289" i="2"/>
  <c r="J289" i="2"/>
  <c r="I289" i="2"/>
  <c r="H289" i="2"/>
  <c r="L288" i="2"/>
  <c r="J288" i="2"/>
  <c r="I288" i="2"/>
  <c r="H288" i="2"/>
  <c r="L287" i="2"/>
  <c r="J287" i="2"/>
  <c r="I287" i="2"/>
  <c r="H287" i="2"/>
  <c r="L286" i="2"/>
  <c r="J286" i="2"/>
  <c r="I286" i="2"/>
  <c r="H286" i="2"/>
  <c r="L285" i="2"/>
  <c r="J285" i="2"/>
  <c r="I285" i="2"/>
  <c r="H285" i="2"/>
  <c r="L284" i="2"/>
  <c r="J284" i="2"/>
  <c r="I284" i="2"/>
  <c r="H284" i="2"/>
  <c r="L283" i="2"/>
  <c r="J283" i="2"/>
  <c r="I283" i="2"/>
  <c r="H283" i="2"/>
  <c r="L282" i="2"/>
  <c r="J282" i="2"/>
  <c r="I282" i="2"/>
  <c r="H282" i="2"/>
  <c r="L281" i="2"/>
  <c r="J281" i="2"/>
  <c r="I281" i="2"/>
  <c r="H281" i="2"/>
  <c r="L280" i="2"/>
  <c r="J280" i="2"/>
  <c r="I280" i="2"/>
  <c r="H280" i="2"/>
  <c r="L279" i="2"/>
  <c r="J279" i="2"/>
  <c r="I279" i="2"/>
  <c r="H279" i="2"/>
  <c r="L278" i="2"/>
  <c r="J278" i="2"/>
  <c r="I278" i="2"/>
  <c r="H278" i="2"/>
  <c r="L277" i="2"/>
  <c r="J277" i="2"/>
  <c r="I277" i="2"/>
  <c r="H277" i="2"/>
  <c r="L276" i="2"/>
  <c r="J276" i="2"/>
  <c r="I276" i="2"/>
  <c r="H276" i="2"/>
  <c r="L275" i="2"/>
  <c r="J275" i="2"/>
  <c r="I275" i="2"/>
  <c r="H275" i="2"/>
  <c r="L274" i="2"/>
  <c r="J274" i="2"/>
  <c r="I274" i="2"/>
  <c r="H274" i="2"/>
  <c r="L273" i="2"/>
  <c r="J273" i="2"/>
  <c r="I273" i="2"/>
  <c r="H273" i="2"/>
  <c r="L272" i="2"/>
  <c r="J272" i="2"/>
  <c r="I272" i="2"/>
  <c r="H272" i="2"/>
  <c r="L271" i="2"/>
  <c r="J271" i="2"/>
  <c r="I271" i="2"/>
  <c r="H271" i="2"/>
  <c r="L270" i="2"/>
  <c r="J270" i="2"/>
  <c r="I270" i="2"/>
  <c r="H270" i="2"/>
  <c r="L269" i="2"/>
  <c r="J269" i="2"/>
  <c r="I269" i="2"/>
  <c r="H269" i="2"/>
  <c r="L268" i="2"/>
  <c r="J268" i="2"/>
  <c r="I268" i="2"/>
  <c r="H268" i="2"/>
  <c r="L267" i="2"/>
  <c r="J267" i="2"/>
  <c r="I267" i="2"/>
  <c r="H267" i="2"/>
  <c r="L266" i="2"/>
  <c r="J266" i="2"/>
  <c r="I266" i="2"/>
  <c r="H266" i="2"/>
  <c r="L265" i="2"/>
  <c r="J265" i="2"/>
  <c r="I265" i="2"/>
  <c r="H265" i="2"/>
  <c r="L264" i="2"/>
  <c r="J264" i="2"/>
  <c r="I264" i="2"/>
  <c r="H264" i="2"/>
  <c r="L263" i="2"/>
  <c r="J263" i="2"/>
  <c r="I263" i="2"/>
  <c r="H263" i="2"/>
  <c r="L262" i="2"/>
  <c r="J262" i="2"/>
  <c r="I262" i="2"/>
  <c r="H262" i="2"/>
  <c r="L261" i="2"/>
  <c r="J261" i="2"/>
  <c r="I261" i="2"/>
  <c r="H261" i="2"/>
  <c r="L260" i="2"/>
  <c r="J260" i="2"/>
  <c r="I260" i="2"/>
  <c r="H260" i="2"/>
  <c r="L259" i="2"/>
  <c r="J259" i="2"/>
  <c r="I259" i="2"/>
  <c r="H259" i="2"/>
  <c r="L258" i="2"/>
  <c r="J258" i="2"/>
  <c r="I258" i="2"/>
  <c r="H258" i="2"/>
  <c r="L257" i="2"/>
  <c r="J257" i="2"/>
  <c r="I257" i="2"/>
  <c r="H257" i="2"/>
  <c r="L256" i="2"/>
  <c r="J256" i="2"/>
  <c r="I256" i="2"/>
  <c r="H256" i="2"/>
  <c r="L255" i="2"/>
  <c r="J255" i="2"/>
  <c r="I255" i="2"/>
  <c r="H255" i="2"/>
  <c r="L254" i="2"/>
  <c r="J254" i="2"/>
  <c r="I254" i="2"/>
  <c r="H254" i="2"/>
  <c r="L253" i="2"/>
  <c r="J253" i="2"/>
  <c r="I253" i="2"/>
  <c r="H253" i="2"/>
  <c r="L252" i="2"/>
  <c r="J252" i="2"/>
  <c r="I252" i="2"/>
  <c r="H252" i="2"/>
  <c r="L251" i="2"/>
  <c r="J251" i="2"/>
  <c r="I251" i="2"/>
  <c r="H251" i="2"/>
  <c r="L250" i="2"/>
  <c r="J250" i="2"/>
  <c r="I250" i="2"/>
  <c r="H250" i="2"/>
  <c r="L249" i="2"/>
  <c r="J249" i="2"/>
  <c r="I249" i="2"/>
  <c r="H249" i="2"/>
  <c r="L248" i="2"/>
  <c r="J248" i="2"/>
  <c r="I248" i="2"/>
  <c r="H248" i="2"/>
  <c r="L247" i="2"/>
  <c r="J247" i="2"/>
  <c r="I247" i="2"/>
  <c r="H247" i="2"/>
  <c r="L246" i="2"/>
  <c r="J246" i="2"/>
  <c r="I246" i="2"/>
  <c r="H246" i="2"/>
  <c r="L245" i="2"/>
  <c r="J245" i="2"/>
  <c r="I245" i="2"/>
  <c r="H245" i="2"/>
  <c r="L244" i="2"/>
  <c r="J244" i="2"/>
  <c r="I244" i="2"/>
  <c r="H244" i="2"/>
  <c r="L243" i="2"/>
  <c r="J243" i="2"/>
  <c r="I243" i="2"/>
  <c r="H243" i="2"/>
  <c r="L242" i="2"/>
  <c r="J242" i="2"/>
  <c r="I242" i="2"/>
  <c r="H242" i="2"/>
  <c r="L241" i="2"/>
  <c r="J241" i="2"/>
  <c r="I241" i="2"/>
  <c r="H241" i="2"/>
  <c r="L240" i="2"/>
  <c r="J240" i="2"/>
  <c r="I240" i="2"/>
  <c r="H240" i="2"/>
  <c r="L239" i="2"/>
  <c r="J239" i="2"/>
  <c r="I239" i="2"/>
  <c r="H239" i="2"/>
  <c r="L238" i="2"/>
  <c r="J238" i="2"/>
  <c r="I238" i="2"/>
  <c r="H238" i="2"/>
  <c r="L237" i="2"/>
  <c r="J237" i="2"/>
  <c r="I237" i="2"/>
  <c r="H237" i="2"/>
  <c r="L236" i="2"/>
  <c r="J236" i="2"/>
  <c r="I236" i="2"/>
  <c r="H236" i="2"/>
  <c r="L235" i="2"/>
  <c r="J235" i="2"/>
  <c r="I235" i="2"/>
  <c r="H235" i="2"/>
  <c r="L234" i="2"/>
  <c r="J234" i="2"/>
  <c r="I234" i="2"/>
  <c r="H234" i="2"/>
  <c r="L233" i="2"/>
  <c r="J233" i="2"/>
  <c r="I233" i="2"/>
  <c r="H233" i="2"/>
  <c r="L232" i="2"/>
  <c r="J232" i="2"/>
  <c r="I232" i="2"/>
  <c r="H232" i="2"/>
  <c r="L231" i="2"/>
  <c r="J231" i="2"/>
  <c r="I231" i="2"/>
  <c r="H231" i="2"/>
  <c r="L230" i="2"/>
  <c r="J230" i="2"/>
  <c r="I230" i="2"/>
  <c r="H230" i="2"/>
  <c r="L229" i="2"/>
  <c r="J229" i="2"/>
  <c r="I229" i="2"/>
  <c r="H229" i="2"/>
  <c r="L228" i="2"/>
  <c r="J228" i="2"/>
  <c r="I228" i="2"/>
  <c r="H228" i="2"/>
  <c r="L227" i="2"/>
  <c r="J227" i="2"/>
  <c r="I227" i="2"/>
  <c r="H227" i="2"/>
  <c r="L226" i="2"/>
  <c r="J226" i="2"/>
  <c r="I226" i="2"/>
  <c r="H226" i="2"/>
  <c r="L225" i="2"/>
  <c r="J225" i="2"/>
  <c r="I225" i="2"/>
  <c r="H225" i="2"/>
  <c r="L224" i="2"/>
  <c r="J224" i="2"/>
  <c r="I224" i="2"/>
  <c r="H224" i="2"/>
  <c r="L223" i="2"/>
  <c r="J223" i="2"/>
  <c r="I223" i="2"/>
  <c r="H223" i="2"/>
  <c r="L222" i="2"/>
  <c r="J222" i="2"/>
  <c r="I222" i="2"/>
  <c r="H222" i="2"/>
  <c r="L221" i="2"/>
  <c r="J221" i="2"/>
  <c r="I221" i="2"/>
  <c r="H221" i="2"/>
  <c r="L220" i="2"/>
  <c r="J220" i="2"/>
  <c r="I220" i="2"/>
  <c r="H220" i="2"/>
  <c r="L219" i="2"/>
  <c r="J219" i="2"/>
  <c r="I219" i="2"/>
  <c r="H219" i="2"/>
  <c r="L218" i="2"/>
  <c r="J218" i="2"/>
  <c r="I218" i="2"/>
  <c r="H218" i="2"/>
  <c r="L217" i="2"/>
  <c r="J217" i="2"/>
  <c r="I217" i="2"/>
  <c r="H217" i="2"/>
  <c r="L216" i="2"/>
  <c r="J216" i="2"/>
  <c r="I216" i="2"/>
  <c r="H216" i="2"/>
  <c r="L215" i="2"/>
  <c r="J215" i="2"/>
  <c r="I215" i="2"/>
  <c r="H215" i="2"/>
  <c r="L214" i="2"/>
  <c r="J214" i="2"/>
  <c r="I214" i="2"/>
  <c r="H214" i="2"/>
  <c r="L213" i="2"/>
  <c r="J213" i="2"/>
  <c r="I213" i="2"/>
  <c r="H213" i="2"/>
  <c r="L212" i="2"/>
  <c r="J212" i="2"/>
  <c r="I212" i="2"/>
  <c r="H212" i="2"/>
  <c r="L211" i="2"/>
  <c r="J211" i="2"/>
  <c r="I211" i="2"/>
  <c r="H211" i="2"/>
  <c r="L210" i="2"/>
  <c r="J210" i="2"/>
  <c r="I210" i="2"/>
  <c r="H210" i="2"/>
  <c r="L209" i="2"/>
  <c r="J209" i="2"/>
  <c r="I209" i="2"/>
  <c r="H209" i="2"/>
  <c r="L208" i="2"/>
  <c r="J208" i="2"/>
  <c r="I208" i="2"/>
  <c r="H208" i="2"/>
  <c r="L207" i="2"/>
  <c r="J207" i="2"/>
  <c r="I207" i="2"/>
  <c r="H207" i="2"/>
  <c r="L206" i="2"/>
  <c r="J206" i="2"/>
  <c r="I206" i="2"/>
  <c r="H206" i="2"/>
  <c r="L205" i="2"/>
  <c r="J205" i="2"/>
  <c r="I205" i="2"/>
  <c r="H205" i="2"/>
  <c r="L204" i="2"/>
  <c r="J204" i="2"/>
  <c r="I204" i="2"/>
  <c r="H204" i="2"/>
  <c r="L203" i="2"/>
  <c r="J203" i="2"/>
  <c r="I203" i="2"/>
  <c r="H203" i="2"/>
  <c r="L202" i="2"/>
  <c r="J202" i="2"/>
  <c r="I202" i="2"/>
  <c r="H202" i="2"/>
  <c r="L201" i="2"/>
  <c r="J201" i="2"/>
  <c r="I201" i="2"/>
  <c r="H201" i="2"/>
  <c r="L200" i="2"/>
  <c r="J200" i="2"/>
  <c r="I200" i="2"/>
  <c r="H200" i="2"/>
  <c r="L199" i="2"/>
  <c r="J199" i="2"/>
  <c r="I199" i="2"/>
  <c r="H199" i="2"/>
  <c r="L198" i="2"/>
  <c r="J198" i="2"/>
  <c r="I198" i="2"/>
  <c r="H198" i="2"/>
  <c r="L197" i="2"/>
  <c r="J197" i="2"/>
  <c r="I197" i="2"/>
  <c r="H197" i="2"/>
  <c r="L196" i="2"/>
  <c r="J196" i="2"/>
  <c r="I196" i="2"/>
  <c r="H196" i="2"/>
  <c r="L195" i="2"/>
  <c r="J195" i="2"/>
  <c r="I195" i="2"/>
  <c r="H195" i="2"/>
  <c r="L194" i="2"/>
  <c r="J194" i="2"/>
  <c r="I194" i="2"/>
  <c r="H194" i="2"/>
  <c r="L193" i="2"/>
  <c r="J193" i="2"/>
  <c r="I193" i="2"/>
  <c r="H193" i="2"/>
  <c r="L192" i="2"/>
  <c r="J192" i="2"/>
  <c r="I192" i="2"/>
  <c r="H192" i="2"/>
  <c r="L191" i="2"/>
  <c r="J191" i="2"/>
  <c r="I191" i="2"/>
  <c r="H191" i="2"/>
  <c r="L190" i="2"/>
  <c r="J190" i="2"/>
  <c r="I190" i="2"/>
  <c r="H190" i="2"/>
  <c r="L189" i="2"/>
  <c r="J189" i="2"/>
  <c r="I189" i="2"/>
  <c r="H189" i="2"/>
  <c r="L188" i="2"/>
  <c r="J188" i="2"/>
  <c r="I188" i="2"/>
  <c r="H188" i="2"/>
  <c r="L187" i="2"/>
  <c r="J187" i="2"/>
  <c r="I187" i="2"/>
  <c r="H187" i="2"/>
  <c r="L186" i="2"/>
  <c r="J186" i="2"/>
  <c r="I186" i="2"/>
  <c r="H186" i="2"/>
  <c r="L185" i="2"/>
  <c r="J185" i="2"/>
  <c r="I185" i="2"/>
  <c r="H185" i="2"/>
  <c r="L184" i="2"/>
  <c r="J184" i="2"/>
  <c r="I184" i="2"/>
  <c r="H184" i="2"/>
  <c r="L183" i="2"/>
  <c r="J183" i="2"/>
  <c r="I183" i="2"/>
  <c r="H183" i="2"/>
  <c r="L182" i="2"/>
  <c r="J182" i="2"/>
  <c r="I182" i="2"/>
  <c r="H182" i="2"/>
  <c r="L181" i="2"/>
  <c r="J181" i="2"/>
  <c r="I181" i="2"/>
  <c r="H181" i="2"/>
  <c r="L180" i="2"/>
  <c r="J180" i="2"/>
  <c r="I180" i="2"/>
  <c r="H180" i="2"/>
  <c r="L179" i="2"/>
  <c r="J179" i="2"/>
  <c r="I179" i="2"/>
  <c r="H179" i="2"/>
  <c r="L178" i="2"/>
  <c r="J178" i="2"/>
  <c r="I178" i="2"/>
  <c r="H178" i="2"/>
  <c r="L177" i="2"/>
  <c r="J177" i="2"/>
  <c r="I177" i="2"/>
  <c r="H177" i="2"/>
  <c r="L176" i="2"/>
  <c r="J176" i="2"/>
  <c r="I176" i="2"/>
  <c r="H176" i="2"/>
  <c r="L175" i="2"/>
  <c r="J175" i="2"/>
  <c r="I175" i="2"/>
  <c r="H175" i="2"/>
  <c r="L174" i="2"/>
  <c r="J174" i="2"/>
  <c r="I174" i="2"/>
  <c r="H174" i="2"/>
  <c r="L173" i="2"/>
  <c r="J173" i="2"/>
  <c r="I173" i="2"/>
  <c r="H173" i="2"/>
  <c r="L172" i="2"/>
  <c r="J172" i="2"/>
  <c r="I172" i="2"/>
  <c r="H172" i="2"/>
  <c r="L171" i="2"/>
  <c r="J171" i="2"/>
  <c r="I171" i="2"/>
  <c r="H171" i="2"/>
  <c r="L170" i="2"/>
  <c r="J170" i="2"/>
  <c r="I170" i="2"/>
  <c r="H170" i="2"/>
  <c r="L169" i="2"/>
  <c r="J169" i="2"/>
  <c r="I169" i="2"/>
  <c r="H169" i="2"/>
  <c r="L168" i="2"/>
  <c r="J168" i="2"/>
  <c r="I168" i="2"/>
  <c r="H168" i="2"/>
  <c r="L167" i="2"/>
  <c r="J167" i="2"/>
  <c r="I167" i="2"/>
  <c r="H167" i="2"/>
  <c r="L166" i="2"/>
  <c r="J166" i="2"/>
  <c r="I166" i="2"/>
  <c r="H166" i="2"/>
  <c r="L165" i="2"/>
  <c r="J165" i="2"/>
  <c r="I165" i="2"/>
  <c r="H165" i="2"/>
  <c r="L164" i="2"/>
  <c r="J164" i="2"/>
  <c r="I164" i="2"/>
  <c r="H164" i="2"/>
  <c r="L163" i="2"/>
  <c r="J163" i="2"/>
  <c r="I163" i="2"/>
  <c r="H163" i="2"/>
  <c r="L162" i="2"/>
  <c r="J162" i="2"/>
  <c r="I162" i="2"/>
  <c r="H162" i="2"/>
  <c r="L161" i="2"/>
  <c r="J161" i="2"/>
  <c r="I161" i="2"/>
  <c r="H161" i="2"/>
  <c r="L160" i="2"/>
  <c r="J160" i="2"/>
  <c r="I160" i="2"/>
  <c r="H160" i="2"/>
  <c r="L159" i="2"/>
  <c r="J159" i="2"/>
  <c r="I159" i="2"/>
  <c r="H159" i="2"/>
  <c r="L158" i="2"/>
  <c r="J158" i="2"/>
  <c r="I158" i="2"/>
  <c r="H158" i="2"/>
  <c r="L157" i="2"/>
  <c r="J157" i="2"/>
  <c r="I157" i="2"/>
  <c r="H157" i="2"/>
  <c r="L156" i="2"/>
  <c r="J156" i="2"/>
  <c r="I156" i="2"/>
  <c r="H156" i="2"/>
  <c r="L155" i="2"/>
  <c r="J155" i="2"/>
  <c r="I155" i="2"/>
  <c r="H155" i="2"/>
  <c r="L154" i="2"/>
  <c r="J154" i="2"/>
  <c r="I154" i="2"/>
  <c r="H154" i="2"/>
  <c r="L153" i="2"/>
  <c r="J153" i="2"/>
  <c r="I153" i="2"/>
  <c r="H153" i="2"/>
  <c r="L152" i="2"/>
  <c r="J152" i="2"/>
  <c r="I152" i="2"/>
  <c r="H152" i="2"/>
  <c r="L151" i="2"/>
  <c r="J151" i="2"/>
  <c r="I151" i="2"/>
  <c r="H151" i="2"/>
  <c r="L150" i="2"/>
  <c r="J150" i="2"/>
  <c r="I150" i="2"/>
  <c r="H150" i="2"/>
  <c r="L149" i="2"/>
  <c r="J149" i="2"/>
  <c r="I149" i="2"/>
  <c r="H149" i="2"/>
  <c r="L148" i="2"/>
  <c r="J148" i="2"/>
  <c r="I148" i="2"/>
  <c r="H148" i="2"/>
  <c r="L147" i="2"/>
  <c r="J147" i="2"/>
  <c r="I147" i="2"/>
  <c r="H147" i="2"/>
  <c r="L146" i="2"/>
  <c r="J146" i="2"/>
  <c r="I146" i="2"/>
  <c r="H146" i="2"/>
  <c r="L145" i="2"/>
  <c r="J145" i="2"/>
  <c r="I145" i="2"/>
  <c r="H145" i="2"/>
  <c r="L144" i="2"/>
  <c r="J144" i="2"/>
  <c r="I144" i="2"/>
  <c r="H144" i="2"/>
  <c r="L143" i="2"/>
  <c r="J143" i="2"/>
  <c r="I143" i="2"/>
  <c r="H143" i="2"/>
  <c r="L142" i="2"/>
  <c r="J142" i="2"/>
  <c r="I142" i="2"/>
  <c r="H142" i="2"/>
  <c r="L141" i="2"/>
  <c r="J141" i="2"/>
  <c r="I141" i="2"/>
  <c r="H141" i="2"/>
  <c r="L140" i="2"/>
  <c r="J140" i="2"/>
  <c r="I140" i="2"/>
  <c r="H140" i="2"/>
  <c r="L139" i="2"/>
  <c r="J139" i="2"/>
  <c r="I139" i="2"/>
  <c r="H139" i="2"/>
  <c r="L138" i="2"/>
  <c r="J138" i="2"/>
  <c r="I138" i="2"/>
  <c r="H138" i="2"/>
  <c r="L137" i="2"/>
  <c r="J137" i="2"/>
  <c r="I137" i="2"/>
  <c r="H137" i="2"/>
  <c r="L136" i="2"/>
  <c r="J136" i="2"/>
  <c r="I136" i="2"/>
  <c r="H136" i="2"/>
  <c r="L135" i="2"/>
  <c r="J135" i="2"/>
  <c r="I135" i="2"/>
  <c r="H135" i="2"/>
  <c r="L134" i="2"/>
  <c r="J134" i="2"/>
  <c r="I134" i="2"/>
  <c r="H134" i="2"/>
  <c r="L133" i="2"/>
  <c r="J133" i="2"/>
  <c r="I133" i="2"/>
  <c r="H133" i="2"/>
  <c r="L132" i="2"/>
  <c r="J132" i="2"/>
  <c r="I132" i="2"/>
  <c r="H132" i="2"/>
  <c r="L131" i="2"/>
  <c r="J131" i="2"/>
  <c r="I131" i="2"/>
  <c r="H131" i="2"/>
  <c r="L130" i="2"/>
  <c r="J130" i="2"/>
  <c r="I130" i="2"/>
  <c r="H130" i="2"/>
  <c r="L129" i="2"/>
  <c r="J129" i="2"/>
  <c r="I129" i="2"/>
  <c r="H129" i="2"/>
  <c r="L128" i="2"/>
  <c r="J128" i="2"/>
  <c r="I128" i="2"/>
  <c r="H128" i="2"/>
  <c r="L127" i="2"/>
  <c r="J127" i="2"/>
  <c r="I127" i="2"/>
  <c r="H127" i="2"/>
  <c r="L126" i="2"/>
  <c r="J126" i="2"/>
  <c r="I126" i="2"/>
  <c r="H126" i="2"/>
  <c r="L125" i="2"/>
  <c r="J125" i="2"/>
  <c r="I125" i="2"/>
  <c r="H125" i="2"/>
  <c r="L124" i="2"/>
  <c r="J124" i="2"/>
  <c r="I124" i="2"/>
  <c r="H124" i="2"/>
  <c r="L123" i="2"/>
  <c r="J123" i="2"/>
  <c r="I123" i="2"/>
  <c r="H123" i="2"/>
  <c r="L122" i="2"/>
  <c r="J122" i="2"/>
  <c r="I122" i="2"/>
  <c r="H122" i="2"/>
  <c r="L121" i="2"/>
  <c r="J121" i="2"/>
  <c r="I121" i="2"/>
  <c r="H121" i="2"/>
  <c r="L120" i="2"/>
  <c r="J120" i="2"/>
  <c r="I120" i="2"/>
  <c r="H120" i="2"/>
  <c r="L119" i="2"/>
  <c r="J119" i="2"/>
  <c r="I119" i="2"/>
  <c r="H119" i="2"/>
  <c r="L118" i="2"/>
  <c r="J118" i="2"/>
  <c r="I118" i="2"/>
  <c r="H118" i="2"/>
  <c r="L117" i="2"/>
  <c r="J117" i="2"/>
  <c r="I117" i="2"/>
  <c r="H117" i="2"/>
  <c r="L116" i="2"/>
  <c r="J116" i="2"/>
  <c r="I116" i="2"/>
  <c r="H116" i="2"/>
  <c r="L115" i="2"/>
  <c r="J115" i="2"/>
  <c r="I115" i="2"/>
  <c r="H115" i="2"/>
  <c r="L114" i="2"/>
  <c r="J114" i="2"/>
  <c r="I114" i="2"/>
  <c r="H114" i="2"/>
  <c r="L113" i="2"/>
  <c r="J113" i="2"/>
  <c r="I113" i="2"/>
  <c r="H113" i="2"/>
  <c r="L112" i="2"/>
  <c r="J112" i="2"/>
  <c r="I112" i="2"/>
  <c r="H112" i="2"/>
  <c r="L111" i="2"/>
  <c r="J111" i="2"/>
  <c r="I111" i="2"/>
  <c r="H111" i="2"/>
  <c r="L110" i="2"/>
  <c r="J110" i="2"/>
  <c r="I110" i="2"/>
  <c r="H110" i="2"/>
  <c r="L109" i="2"/>
  <c r="J109" i="2"/>
  <c r="I109" i="2"/>
  <c r="H109" i="2"/>
  <c r="L108" i="2"/>
  <c r="J108" i="2"/>
  <c r="I108" i="2"/>
  <c r="H108" i="2"/>
  <c r="L107" i="2"/>
  <c r="J107" i="2"/>
  <c r="I107" i="2"/>
  <c r="H107" i="2"/>
  <c r="L106" i="2"/>
  <c r="J106" i="2"/>
  <c r="I106" i="2"/>
  <c r="H106" i="2"/>
  <c r="L105" i="2"/>
  <c r="J105" i="2"/>
  <c r="I105" i="2"/>
  <c r="H105" i="2"/>
  <c r="L104" i="2"/>
  <c r="J104" i="2"/>
  <c r="I104" i="2"/>
  <c r="H104" i="2"/>
  <c r="L103" i="2"/>
  <c r="J103" i="2"/>
  <c r="I103" i="2"/>
  <c r="H103" i="2"/>
  <c r="L102" i="2"/>
  <c r="J102" i="2"/>
  <c r="I102" i="2"/>
  <c r="H102" i="2"/>
  <c r="L101" i="2"/>
  <c r="J101" i="2"/>
  <c r="I101" i="2"/>
  <c r="H101" i="2"/>
  <c r="L100" i="2"/>
  <c r="J100" i="2"/>
  <c r="I100" i="2"/>
  <c r="H100" i="2"/>
  <c r="L99" i="2"/>
  <c r="J99" i="2"/>
  <c r="I99" i="2"/>
  <c r="H99" i="2"/>
  <c r="L98" i="2"/>
  <c r="J98" i="2"/>
  <c r="I98" i="2"/>
  <c r="H98" i="2"/>
  <c r="L97" i="2"/>
  <c r="J97" i="2"/>
  <c r="I97" i="2"/>
  <c r="H97" i="2"/>
  <c r="L96" i="2"/>
  <c r="J96" i="2"/>
  <c r="I96" i="2"/>
  <c r="H96" i="2"/>
  <c r="L95" i="2"/>
  <c r="J95" i="2"/>
  <c r="I95" i="2"/>
  <c r="H95" i="2"/>
  <c r="L94" i="2"/>
  <c r="J94" i="2"/>
  <c r="I94" i="2"/>
  <c r="H94" i="2"/>
  <c r="L93" i="2"/>
  <c r="J93" i="2"/>
  <c r="I93" i="2"/>
  <c r="H93" i="2"/>
  <c r="L92" i="2"/>
  <c r="J92" i="2"/>
  <c r="I92" i="2"/>
  <c r="H92" i="2"/>
  <c r="L91" i="2"/>
  <c r="J91" i="2"/>
  <c r="I91" i="2"/>
  <c r="H91" i="2"/>
  <c r="L90" i="2"/>
  <c r="J90" i="2"/>
  <c r="I90" i="2"/>
  <c r="H90" i="2"/>
  <c r="L89" i="2"/>
  <c r="J89" i="2"/>
  <c r="I89" i="2"/>
  <c r="H89" i="2"/>
  <c r="L88" i="2"/>
  <c r="J88" i="2"/>
  <c r="I88" i="2"/>
  <c r="H88" i="2"/>
  <c r="L87" i="2"/>
  <c r="J87" i="2"/>
  <c r="I87" i="2"/>
  <c r="H87" i="2"/>
  <c r="L86" i="2"/>
  <c r="J86" i="2"/>
  <c r="I86" i="2"/>
  <c r="H86" i="2"/>
  <c r="L85" i="2"/>
  <c r="J85" i="2"/>
  <c r="I85" i="2"/>
  <c r="H85" i="2"/>
  <c r="L84" i="2"/>
  <c r="J84" i="2"/>
  <c r="I84" i="2"/>
  <c r="H84" i="2"/>
  <c r="L83" i="2"/>
  <c r="J83" i="2"/>
  <c r="I83" i="2"/>
  <c r="H83" i="2"/>
  <c r="L82" i="2"/>
  <c r="J82" i="2"/>
  <c r="I82" i="2"/>
  <c r="H82" i="2"/>
  <c r="L81" i="2"/>
  <c r="J81" i="2"/>
  <c r="I81" i="2"/>
  <c r="H81" i="2"/>
  <c r="L80" i="2"/>
  <c r="J80" i="2"/>
  <c r="I80" i="2"/>
  <c r="H80" i="2"/>
  <c r="L79" i="2"/>
  <c r="J79" i="2"/>
  <c r="I79" i="2"/>
  <c r="H79" i="2"/>
  <c r="L78" i="2"/>
  <c r="J78" i="2"/>
  <c r="I78" i="2"/>
  <c r="H78" i="2"/>
  <c r="L77" i="2"/>
  <c r="J77" i="2"/>
  <c r="I77" i="2"/>
  <c r="H77" i="2"/>
  <c r="L76" i="2"/>
  <c r="J76" i="2"/>
  <c r="I76" i="2"/>
  <c r="H76" i="2"/>
  <c r="L75" i="2"/>
  <c r="J75" i="2"/>
  <c r="I75" i="2"/>
  <c r="H75" i="2"/>
  <c r="L74" i="2"/>
  <c r="J74" i="2"/>
  <c r="I74" i="2"/>
  <c r="H74" i="2"/>
  <c r="L73" i="2"/>
  <c r="J73" i="2"/>
  <c r="I73" i="2"/>
  <c r="H73" i="2"/>
  <c r="L72" i="2"/>
  <c r="J72" i="2"/>
  <c r="I72" i="2"/>
  <c r="H72" i="2"/>
  <c r="L71" i="2"/>
  <c r="J71" i="2"/>
  <c r="I71" i="2"/>
  <c r="H71" i="2"/>
  <c r="L70" i="2"/>
  <c r="J70" i="2"/>
  <c r="I70" i="2"/>
  <c r="H70" i="2"/>
  <c r="L69" i="2"/>
  <c r="J69" i="2"/>
  <c r="I69" i="2"/>
  <c r="H69" i="2"/>
  <c r="L68" i="2"/>
  <c r="J68" i="2"/>
  <c r="I68" i="2"/>
  <c r="H68" i="2"/>
  <c r="L67" i="2"/>
  <c r="J67" i="2"/>
  <c r="I67" i="2"/>
  <c r="H67" i="2"/>
  <c r="L66" i="2"/>
  <c r="J66" i="2"/>
  <c r="I66" i="2"/>
  <c r="H66" i="2"/>
  <c r="L65" i="2"/>
  <c r="J65" i="2"/>
  <c r="I65" i="2"/>
  <c r="H65" i="2"/>
  <c r="L64" i="2"/>
  <c r="J64" i="2"/>
  <c r="I64" i="2"/>
  <c r="H64" i="2"/>
  <c r="L63" i="2"/>
  <c r="J63" i="2"/>
  <c r="I63" i="2"/>
  <c r="H63" i="2"/>
  <c r="L62" i="2"/>
  <c r="J62" i="2"/>
  <c r="I62" i="2"/>
  <c r="H62" i="2"/>
  <c r="L61" i="2"/>
  <c r="J61" i="2"/>
  <c r="I61" i="2"/>
  <c r="H61" i="2"/>
  <c r="L60" i="2"/>
  <c r="J60" i="2"/>
  <c r="I60" i="2"/>
  <c r="H60" i="2"/>
  <c r="L59" i="2"/>
  <c r="J59" i="2"/>
  <c r="I59" i="2"/>
  <c r="H59" i="2"/>
  <c r="L58" i="2"/>
  <c r="J58" i="2"/>
  <c r="I58" i="2"/>
  <c r="H58" i="2"/>
  <c r="L57" i="2"/>
  <c r="J57" i="2"/>
  <c r="I57" i="2"/>
  <c r="H57" i="2"/>
  <c r="L56" i="2"/>
  <c r="J56" i="2"/>
  <c r="I56" i="2"/>
  <c r="H56" i="2"/>
  <c r="L55" i="2"/>
  <c r="J55" i="2"/>
  <c r="I55" i="2"/>
  <c r="H55" i="2"/>
  <c r="L54" i="2"/>
  <c r="J54" i="2"/>
  <c r="I54" i="2"/>
  <c r="H54" i="2"/>
  <c r="L53" i="2"/>
  <c r="J53" i="2"/>
  <c r="I53" i="2"/>
  <c r="H53" i="2"/>
  <c r="L52" i="2"/>
  <c r="J52" i="2"/>
  <c r="I52" i="2"/>
  <c r="H52" i="2"/>
  <c r="L51" i="2"/>
  <c r="J51" i="2"/>
  <c r="I51" i="2"/>
  <c r="H51" i="2"/>
  <c r="L50" i="2"/>
  <c r="J50" i="2"/>
  <c r="I50" i="2"/>
  <c r="H50" i="2"/>
  <c r="L49" i="2"/>
  <c r="J49" i="2"/>
  <c r="I49" i="2"/>
  <c r="H49" i="2"/>
  <c r="L48" i="2"/>
  <c r="J48" i="2"/>
  <c r="I48" i="2"/>
  <c r="H48" i="2"/>
  <c r="L47" i="2"/>
  <c r="J47" i="2"/>
  <c r="I47" i="2"/>
  <c r="H47" i="2"/>
  <c r="L46" i="2"/>
  <c r="J46" i="2"/>
  <c r="I46" i="2"/>
  <c r="H46" i="2"/>
  <c r="L45" i="2"/>
  <c r="J45" i="2"/>
  <c r="I45" i="2"/>
  <c r="H45" i="2"/>
  <c r="L44" i="2"/>
  <c r="J44" i="2"/>
  <c r="I44" i="2"/>
  <c r="H44" i="2"/>
  <c r="L43" i="2"/>
  <c r="J43" i="2"/>
  <c r="I43" i="2"/>
  <c r="H43" i="2"/>
  <c r="L42" i="2"/>
  <c r="J42" i="2"/>
  <c r="I42" i="2"/>
  <c r="H42" i="2"/>
  <c r="L41" i="2"/>
  <c r="J41" i="2"/>
  <c r="I41" i="2"/>
  <c r="H41" i="2"/>
  <c r="L40" i="2"/>
  <c r="J40" i="2"/>
  <c r="I40" i="2"/>
  <c r="H40" i="2"/>
  <c r="L39" i="2"/>
  <c r="J39" i="2"/>
  <c r="I39" i="2"/>
  <c r="H39" i="2"/>
  <c r="L38" i="2"/>
  <c r="J38" i="2"/>
  <c r="I38" i="2"/>
  <c r="H38" i="2"/>
  <c r="L37" i="2"/>
  <c r="J37" i="2"/>
  <c r="I37" i="2"/>
  <c r="H37" i="2"/>
  <c r="L36" i="2"/>
  <c r="J36" i="2"/>
  <c r="I36" i="2"/>
  <c r="H36" i="2"/>
  <c r="L35" i="2"/>
  <c r="J35" i="2"/>
  <c r="I35" i="2"/>
  <c r="H35" i="2"/>
  <c r="L34" i="2"/>
  <c r="J34" i="2"/>
  <c r="I34" i="2"/>
  <c r="H34" i="2"/>
  <c r="L33" i="2"/>
  <c r="J33" i="2"/>
  <c r="I33" i="2"/>
  <c r="H33" i="2"/>
  <c r="L32" i="2"/>
  <c r="J32" i="2"/>
  <c r="I32" i="2"/>
  <c r="H32" i="2"/>
  <c r="L31" i="2"/>
  <c r="J31" i="2"/>
  <c r="I31" i="2"/>
  <c r="H31" i="2"/>
  <c r="L30" i="2"/>
  <c r="J30" i="2"/>
  <c r="I30" i="2"/>
  <c r="H30" i="2"/>
  <c r="L29" i="2"/>
  <c r="J29" i="2"/>
  <c r="I29" i="2"/>
  <c r="H29" i="2"/>
  <c r="L28" i="2"/>
  <c r="J28" i="2"/>
  <c r="I28" i="2"/>
  <c r="H28" i="2"/>
  <c r="L27" i="2"/>
  <c r="J27" i="2"/>
  <c r="I27" i="2"/>
  <c r="H27" i="2"/>
  <c r="L26" i="2"/>
  <c r="J26" i="2"/>
  <c r="I26" i="2"/>
  <c r="H26" i="2"/>
  <c r="L25" i="2"/>
  <c r="J25" i="2"/>
  <c r="I25" i="2"/>
  <c r="H25" i="2"/>
  <c r="L24" i="2"/>
  <c r="J24" i="2"/>
  <c r="I24" i="2"/>
  <c r="H24" i="2"/>
  <c r="L23" i="2"/>
  <c r="J23" i="2"/>
  <c r="I23" i="2"/>
  <c r="H23" i="2"/>
  <c r="L22" i="2"/>
  <c r="J22" i="2"/>
  <c r="I22" i="2"/>
  <c r="H22" i="2"/>
  <c r="L21" i="2"/>
  <c r="J21" i="2"/>
  <c r="I21" i="2"/>
  <c r="H21" i="2"/>
  <c r="L20" i="2"/>
  <c r="J20" i="2"/>
  <c r="I20" i="2"/>
  <c r="H20" i="2"/>
  <c r="L19" i="2"/>
  <c r="J19" i="2"/>
  <c r="I19" i="2"/>
  <c r="H19" i="2"/>
  <c r="L18" i="2"/>
  <c r="J18" i="2"/>
  <c r="I18" i="2"/>
  <c r="H18" i="2"/>
  <c r="L17" i="2"/>
  <c r="J17" i="2"/>
  <c r="I17" i="2"/>
  <c r="H17" i="2"/>
  <c r="L16" i="2"/>
  <c r="J16" i="2"/>
  <c r="I16" i="2"/>
  <c r="H16" i="2"/>
  <c r="L15" i="2"/>
  <c r="J15" i="2"/>
  <c r="I15" i="2"/>
  <c r="H15" i="2"/>
  <c r="L14" i="2"/>
  <c r="J14" i="2"/>
  <c r="I14" i="2"/>
  <c r="H14" i="2"/>
  <c r="L13" i="2"/>
  <c r="J13" i="2"/>
  <c r="I13" i="2"/>
  <c r="H13" i="2"/>
  <c r="L12" i="2"/>
  <c r="J12" i="2"/>
  <c r="I12" i="2"/>
  <c r="H12" i="2"/>
  <c r="L11" i="2"/>
  <c r="J11" i="2"/>
  <c r="I11" i="2"/>
  <c r="H11" i="2"/>
  <c r="L10" i="2"/>
  <c r="J10" i="2"/>
  <c r="I10" i="2"/>
  <c r="H10" i="2"/>
  <c r="L9" i="2"/>
  <c r="J9" i="2"/>
  <c r="I9" i="2"/>
  <c r="H9" i="2"/>
  <c r="L8" i="2"/>
  <c r="J8" i="2"/>
  <c r="I8" i="2"/>
  <c r="H8" i="2"/>
  <c r="L7" i="2"/>
  <c r="R7" i="2" s="1"/>
  <c r="J7" i="2"/>
  <c r="I7" i="2"/>
  <c r="H7" i="2"/>
  <c r="T6" i="2"/>
  <c r="S6" i="2"/>
  <c r="K4" i="2"/>
  <c r="J4" i="2"/>
  <c r="I4" i="2"/>
  <c r="H4" i="2"/>
  <c r="B11" i="1"/>
  <c r="C11" i="1" s="1"/>
  <c r="A30" i="6"/>
  <c r="A29" i="6"/>
  <c r="C20" i="6"/>
  <c r="D20" i="6" s="1"/>
  <c r="C19" i="6"/>
  <c r="D19" i="6" s="1"/>
  <c r="B19" i="6"/>
  <c r="C18" i="6"/>
  <c r="D18" i="6" s="1"/>
  <c r="B18" i="6"/>
  <c r="C17" i="6"/>
  <c r="D17" i="6" s="1"/>
  <c r="B17" i="6"/>
  <c r="B16" i="6"/>
  <c r="B15" i="6"/>
  <c r="B14" i="6"/>
  <c r="A2" i="6"/>
  <c r="B84" i="5" l="1"/>
  <c r="B74" i="5"/>
  <c r="B73" i="5"/>
  <c r="B49" i="4"/>
  <c r="C49" i="4"/>
  <c r="B50" i="4"/>
  <c r="C50" i="4"/>
  <c r="B51" i="4"/>
  <c r="C51" i="4"/>
  <c r="B52" i="4"/>
  <c r="C52" i="4"/>
  <c r="B12" i="5"/>
  <c r="C12" i="5"/>
  <c r="D12" i="5"/>
  <c r="E12" i="5"/>
  <c r="F12" i="5"/>
  <c r="G12" i="5"/>
  <c r="K500" i="2"/>
  <c r="K508" i="2"/>
  <c r="K501" i="2"/>
  <c r="F28" i="6"/>
  <c r="K7" i="2"/>
  <c r="K26" i="2"/>
  <c r="K33" i="2"/>
  <c r="K40" i="2"/>
  <c r="K41" i="2"/>
  <c r="K54" i="2"/>
  <c r="K55" i="2"/>
  <c r="K59" i="2"/>
  <c r="K64" i="2"/>
  <c r="K66" i="2"/>
  <c r="K78" i="2"/>
  <c r="K83" i="2"/>
  <c r="K103" i="2"/>
  <c r="K107" i="2"/>
  <c r="K114" i="2"/>
  <c r="K117" i="2"/>
  <c r="K118" i="2"/>
  <c r="K119" i="2"/>
  <c r="K120" i="2"/>
  <c r="K121" i="2"/>
  <c r="K122" i="2"/>
  <c r="K131" i="2"/>
  <c r="K134" i="2"/>
  <c r="K135" i="2"/>
  <c r="K143" i="2"/>
  <c r="K144" i="2"/>
  <c r="K147" i="2"/>
  <c r="K152" i="2"/>
  <c r="K154" i="2"/>
  <c r="K164" i="2"/>
  <c r="M164" i="2" s="1"/>
  <c r="K8" i="2"/>
  <c r="K16" i="2"/>
  <c r="K28" i="2"/>
  <c r="K30" i="2"/>
  <c r="K37" i="2"/>
  <c r="K38" i="2"/>
  <c r="K46" i="2"/>
  <c r="K47" i="2"/>
  <c r="K48" i="2"/>
  <c r="K51" i="2"/>
  <c r="K57" i="2"/>
  <c r="K60" i="2"/>
  <c r="K65" i="2"/>
  <c r="K71" i="2"/>
  <c r="K75" i="2"/>
  <c r="K86" i="2"/>
  <c r="K98" i="2"/>
  <c r="K100" i="2"/>
  <c r="K104" i="2"/>
  <c r="K108" i="2"/>
  <c r="K112" i="2"/>
  <c r="K115" i="2"/>
  <c r="K116" i="2"/>
  <c r="K123" i="2"/>
  <c r="K124" i="2"/>
  <c r="K125" i="2"/>
  <c r="K126" i="2"/>
  <c r="K127" i="2"/>
  <c r="K128" i="2"/>
  <c r="K129" i="2"/>
  <c r="K130" i="2"/>
  <c r="K132" i="2"/>
  <c r="K133" i="2"/>
  <c r="K136" i="2"/>
  <c r="K137" i="2"/>
  <c r="K138" i="2"/>
  <c r="K139" i="2"/>
  <c r="K140" i="2"/>
  <c r="K141" i="2"/>
  <c r="K142" i="2"/>
  <c r="K145" i="2"/>
  <c r="K146" i="2"/>
  <c r="K148" i="2"/>
  <c r="K149" i="2"/>
  <c r="K150" i="2"/>
  <c r="K151" i="2"/>
  <c r="K153" i="2"/>
  <c r="K155" i="2"/>
  <c r="K156" i="2"/>
  <c r="K157" i="2"/>
  <c r="K158" i="2"/>
  <c r="K159" i="2"/>
  <c r="K160" i="2"/>
  <c r="K161" i="2"/>
  <c r="K162" i="2"/>
  <c r="K163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523" i="2"/>
  <c r="K10" i="2"/>
  <c r="K14" i="2"/>
  <c r="K18" i="2"/>
  <c r="K19" i="2"/>
  <c r="K24" i="2"/>
  <c r="K39" i="2"/>
  <c r="K85" i="2"/>
  <c r="K92" i="2"/>
  <c r="K102" i="2"/>
  <c r="K109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O275" i="2" s="1"/>
  <c r="K499" i="2"/>
  <c r="K502" i="2"/>
  <c r="K503" i="2"/>
  <c r="K27" i="2"/>
  <c r="K31" i="2"/>
  <c r="K34" i="2"/>
  <c r="K50" i="2"/>
  <c r="K52" i="2"/>
  <c r="K53" i="2"/>
  <c r="K58" i="2"/>
  <c r="K61" i="2"/>
  <c r="K62" i="2"/>
  <c r="K67" i="2"/>
  <c r="K74" i="2"/>
  <c r="K77" i="2"/>
  <c r="K79" i="2"/>
  <c r="K82" i="2"/>
  <c r="K88" i="2"/>
  <c r="K91" i="2"/>
  <c r="K96" i="2"/>
  <c r="K224" i="2"/>
  <c r="K229" i="2"/>
  <c r="K281" i="2"/>
  <c r="K28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13" i="2"/>
  <c r="K17" i="2"/>
  <c r="K20" i="2"/>
  <c r="K22" i="2"/>
  <c r="K42" i="2"/>
  <c r="K63" i="2"/>
  <c r="K68" i="2"/>
  <c r="K72" i="2"/>
  <c r="K111" i="2"/>
  <c r="K223" i="2"/>
  <c r="N223" i="2" s="1"/>
  <c r="K230" i="2"/>
  <c r="K277" i="2"/>
  <c r="K279" i="2"/>
  <c r="K282" i="2"/>
  <c r="K283" i="2"/>
  <c r="K331" i="2"/>
  <c r="K346" i="2"/>
  <c r="K347" i="2"/>
  <c r="K355" i="2"/>
  <c r="K356" i="2"/>
  <c r="K364" i="2"/>
  <c r="K367" i="2"/>
  <c r="K368" i="2"/>
  <c r="K369" i="2"/>
  <c r="K370" i="2"/>
  <c r="K371" i="2"/>
  <c r="K372" i="2"/>
  <c r="M372" i="2" s="1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498" i="2"/>
  <c r="K507" i="2"/>
  <c r="K510" i="2"/>
  <c r="K12" i="2"/>
  <c r="K15" i="2"/>
  <c r="K21" i="2"/>
  <c r="K25" i="2"/>
  <c r="K29" i="2"/>
  <c r="K32" i="2"/>
  <c r="K49" i="2"/>
  <c r="K56" i="2"/>
  <c r="K69" i="2"/>
  <c r="K70" i="2"/>
  <c r="K73" i="2"/>
  <c r="K76" i="2"/>
  <c r="K80" i="2"/>
  <c r="K81" i="2"/>
  <c r="K84" i="2"/>
  <c r="K89" i="2"/>
  <c r="K97" i="2"/>
  <c r="K101" i="2"/>
  <c r="K106" i="2"/>
  <c r="K113" i="2"/>
  <c r="K220" i="2"/>
  <c r="K221" i="2"/>
  <c r="K222" i="2"/>
  <c r="K225" i="2"/>
  <c r="K227" i="2"/>
  <c r="K276" i="2"/>
  <c r="K278" i="2"/>
  <c r="K280" i="2"/>
  <c r="K284" i="2"/>
  <c r="K286" i="2"/>
  <c r="K287" i="2"/>
  <c r="K288" i="2"/>
  <c r="K332" i="2"/>
  <c r="K333" i="2"/>
  <c r="K334" i="2"/>
  <c r="K336" i="2"/>
  <c r="K337" i="2"/>
  <c r="K338" i="2"/>
  <c r="K339" i="2"/>
  <c r="K351" i="2"/>
  <c r="K352" i="2"/>
  <c r="K354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9" i="2"/>
  <c r="K11" i="2"/>
  <c r="K23" i="2"/>
  <c r="K35" i="2"/>
  <c r="K36" i="2"/>
  <c r="K43" i="2"/>
  <c r="K44" i="2"/>
  <c r="K45" i="2"/>
  <c r="K87" i="2"/>
  <c r="K90" i="2"/>
  <c r="K93" i="2"/>
  <c r="K94" i="2"/>
  <c r="K95" i="2"/>
  <c r="K99" i="2"/>
  <c r="K105" i="2"/>
  <c r="K110" i="2"/>
  <c r="K226" i="2"/>
  <c r="K228" i="2"/>
  <c r="K231" i="2"/>
  <c r="K232" i="2"/>
  <c r="K335" i="2"/>
  <c r="K340" i="2"/>
  <c r="K341" i="2"/>
  <c r="K342" i="2"/>
  <c r="K343" i="2"/>
  <c r="K344" i="2"/>
  <c r="K345" i="2"/>
  <c r="K348" i="2"/>
  <c r="K349" i="2"/>
  <c r="K350" i="2"/>
  <c r="K353" i="2"/>
  <c r="K357" i="2"/>
  <c r="K358" i="2"/>
  <c r="K359" i="2"/>
  <c r="K360" i="2"/>
  <c r="K361" i="2"/>
  <c r="K362" i="2"/>
  <c r="K363" i="2"/>
  <c r="K365" i="2"/>
  <c r="K36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O399" i="2" s="1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504" i="2"/>
  <c r="K505" i="2"/>
  <c r="K506" i="2"/>
  <c r="K509" i="2"/>
  <c r="K511" i="2"/>
  <c r="K512" i="2"/>
  <c r="K513" i="2"/>
  <c r="K514" i="2"/>
  <c r="M514" i="2" s="1"/>
  <c r="K515" i="2"/>
  <c r="K516" i="2"/>
  <c r="K517" i="2"/>
  <c r="K518" i="2"/>
  <c r="K519" i="2"/>
  <c r="K520" i="2"/>
  <c r="K521" i="2"/>
  <c r="K522" i="2"/>
  <c r="K524" i="2"/>
  <c r="K525" i="2"/>
  <c r="K526" i="2"/>
  <c r="O526" i="2" s="1"/>
  <c r="D52" i="4"/>
  <c r="D49" i="4"/>
  <c r="D50" i="4"/>
  <c r="D51" i="4"/>
  <c r="E25" i="3"/>
  <c r="B28" i="6"/>
  <c r="D25" i="3"/>
  <c r="B27" i="6"/>
  <c r="F7" i="3"/>
  <c r="D10" i="5"/>
  <c r="G10" i="5"/>
  <c r="E10" i="5"/>
  <c r="F10" i="5"/>
  <c r="E26" i="6"/>
  <c r="C7" i="4"/>
  <c r="C8" i="4" s="1"/>
  <c r="B10" i="5"/>
  <c r="C10" i="5"/>
  <c r="B26" i="6"/>
  <c r="C25" i="3"/>
  <c r="B11" i="3"/>
  <c r="B30" i="6" s="1"/>
  <c r="B25" i="6"/>
  <c r="B25" i="3"/>
  <c r="N526" i="2"/>
  <c r="M526" i="2"/>
  <c r="O525" i="2"/>
  <c r="N525" i="2"/>
  <c r="M525" i="2"/>
  <c r="O524" i="2"/>
  <c r="M524" i="2"/>
  <c r="N524" i="2"/>
  <c r="O522" i="2"/>
  <c r="N522" i="2"/>
  <c r="M522" i="2"/>
  <c r="O521" i="2"/>
  <c r="N521" i="2"/>
  <c r="M521" i="2"/>
  <c r="O520" i="2"/>
  <c r="N520" i="2"/>
  <c r="M520" i="2"/>
  <c r="M519" i="2"/>
  <c r="O519" i="2"/>
  <c r="N519" i="2"/>
  <c r="N518" i="2"/>
  <c r="O518" i="2"/>
  <c r="M518" i="2"/>
  <c r="M517" i="2"/>
  <c r="O517" i="2"/>
  <c r="N517" i="2"/>
  <c r="O516" i="2"/>
  <c r="N516" i="2"/>
  <c r="M516" i="2"/>
  <c r="O515" i="2"/>
  <c r="N515" i="2"/>
  <c r="M515" i="2"/>
  <c r="O514" i="2"/>
  <c r="N514" i="2"/>
  <c r="N503" i="2"/>
  <c r="O503" i="2"/>
  <c r="M503" i="2"/>
  <c r="M502" i="2"/>
  <c r="O502" i="2"/>
  <c r="N502" i="2"/>
  <c r="O499" i="2"/>
  <c r="N499" i="2"/>
  <c r="M499" i="2"/>
  <c r="D10" i="3"/>
  <c r="E10" i="3"/>
  <c r="C10" i="3"/>
  <c r="D8" i="3"/>
  <c r="D27" i="6" s="1"/>
  <c r="E8" i="3"/>
  <c r="C8" i="3"/>
  <c r="C7" i="3"/>
  <c r="D7" i="3"/>
  <c r="D26" i="6" s="1"/>
  <c r="D6" i="3"/>
  <c r="D25" i="6" s="1"/>
  <c r="C16" i="3"/>
  <c r="E6" i="3"/>
  <c r="B21" i="5" s="1"/>
  <c r="C6" i="3"/>
  <c r="D16" i="3"/>
  <c r="N498" i="2"/>
  <c r="B16" i="3"/>
  <c r="M498" i="2"/>
  <c r="O498" i="2"/>
  <c r="N497" i="2"/>
  <c r="O497" i="2"/>
  <c r="M497" i="2"/>
  <c r="O496" i="2"/>
  <c r="M496" i="2"/>
  <c r="N496" i="2"/>
  <c r="N495" i="2"/>
  <c r="O495" i="2"/>
  <c r="M495" i="2"/>
  <c r="N494" i="2"/>
  <c r="M494" i="2"/>
  <c r="O494" i="2"/>
  <c r="O493" i="2"/>
  <c r="N493" i="2"/>
  <c r="M493" i="2"/>
  <c r="O492" i="2"/>
  <c r="N492" i="2"/>
  <c r="M492" i="2"/>
  <c r="O491" i="2"/>
  <c r="N491" i="2"/>
  <c r="M491" i="2"/>
  <c r="O490" i="2"/>
  <c r="N490" i="2"/>
  <c r="M490" i="2"/>
  <c r="O489" i="2"/>
  <c r="N489" i="2"/>
  <c r="M489" i="2"/>
  <c r="O488" i="2"/>
  <c r="N488" i="2"/>
  <c r="M488" i="2"/>
  <c r="M487" i="2"/>
  <c r="O487" i="2"/>
  <c r="N487" i="2"/>
  <c r="M486" i="2"/>
  <c r="N486" i="2"/>
  <c r="O486" i="2"/>
  <c r="O485" i="2"/>
  <c r="N485" i="2"/>
  <c r="M485" i="2"/>
  <c r="O484" i="2"/>
  <c r="N484" i="2"/>
  <c r="M484" i="2"/>
  <c r="O483" i="2"/>
  <c r="N483" i="2"/>
  <c r="M483" i="2"/>
  <c r="O482" i="2"/>
  <c r="N482" i="2"/>
  <c r="M482" i="2"/>
  <c r="O481" i="2"/>
  <c r="N481" i="2"/>
  <c r="M481" i="2"/>
  <c r="O480" i="2"/>
  <c r="N480" i="2"/>
  <c r="M480" i="2"/>
  <c r="N479" i="2"/>
  <c r="M479" i="2"/>
  <c r="O479" i="2"/>
  <c r="N478" i="2"/>
  <c r="M478" i="2"/>
  <c r="O478" i="2"/>
  <c r="N477" i="2"/>
  <c r="M477" i="2"/>
  <c r="O477" i="2"/>
  <c r="O476" i="2"/>
  <c r="N476" i="2"/>
  <c r="M476" i="2"/>
  <c r="O475" i="2"/>
  <c r="N475" i="2"/>
  <c r="M475" i="2"/>
  <c r="O474" i="2"/>
  <c r="N474" i="2"/>
  <c r="M474" i="2"/>
  <c r="O473" i="2"/>
  <c r="N473" i="2"/>
  <c r="M473" i="2"/>
  <c r="O472" i="2"/>
  <c r="N472" i="2"/>
  <c r="M472" i="2"/>
  <c r="O471" i="2"/>
  <c r="N471" i="2"/>
  <c r="M471" i="2"/>
  <c r="O470" i="2"/>
  <c r="N470" i="2"/>
  <c r="M470" i="2"/>
  <c r="O469" i="2"/>
  <c r="N469" i="2"/>
  <c r="M469" i="2"/>
  <c r="O468" i="2"/>
  <c r="N468" i="2"/>
  <c r="M468" i="2"/>
  <c r="O467" i="2"/>
  <c r="N467" i="2"/>
  <c r="M467" i="2"/>
  <c r="O466" i="2"/>
  <c r="N466" i="2"/>
  <c r="M466" i="2"/>
  <c r="O465" i="2"/>
  <c r="N465" i="2"/>
  <c r="M465" i="2"/>
  <c r="O464" i="2"/>
  <c r="N464" i="2"/>
  <c r="M464" i="2"/>
  <c r="M463" i="2"/>
  <c r="N463" i="2"/>
  <c r="O463" i="2"/>
  <c r="O462" i="2"/>
  <c r="N462" i="2"/>
  <c r="M462" i="2"/>
  <c r="O461" i="2"/>
  <c r="N461" i="2"/>
  <c r="M461" i="2"/>
  <c r="O460" i="2"/>
  <c r="N460" i="2"/>
  <c r="M460" i="2"/>
  <c r="O459" i="2"/>
  <c r="N459" i="2"/>
  <c r="M459" i="2"/>
  <c r="O458" i="2"/>
  <c r="N458" i="2"/>
  <c r="M458" i="2"/>
  <c r="M457" i="2"/>
  <c r="N457" i="2"/>
  <c r="O457" i="2"/>
  <c r="M456" i="2"/>
  <c r="N456" i="2"/>
  <c r="O456" i="2"/>
  <c r="M455" i="2"/>
  <c r="N455" i="2"/>
  <c r="O455" i="2"/>
  <c r="O454" i="2"/>
  <c r="M454" i="2"/>
  <c r="N454" i="2"/>
  <c r="O453" i="2"/>
  <c r="N453" i="2"/>
  <c r="M453" i="2"/>
  <c r="O452" i="2"/>
  <c r="N452" i="2"/>
  <c r="M452" i="2"/>
  <c r="O451" i="2"/>
  <c r="N451" i="2"/>
  <c r="M451" i="2"/>
  <c r="O450" i="2"/>
  <c r="N450" i="2"/>
  <c r="M450" i="2"/>
  <c r="O449" i="2"/>
  <c r="N449" i="2"/>
  <c r="M449" i="2"/>
  <c r="O448" i="2"/>
  <c r="N448" i="2"/>
  <c r="M448" i="2"/>
  <c r="N447" i="2"/>
  <c r="O447" i="2"/>
  <c r="M447" i="2"/>
  <c r="O441" i="2"/>
  <c r="N441" i="2"/>
  <c r="M441" i="2"/>
  <c r="M440" i="2"/>
  <c r="N440" i="2"/>
  <c r="O440" i="2"/>
  <c r="M439" i="2"/>
  <c r="O439" i="2"/>
  <c r="N439" i="2"/>
  <c r="M438" i="2"/>
  <c r="N438" i="2"/>
  <c r="O438" i="2"/>
  <c r="M437" i="2"/>
  <c r="N437" i="2"/>
  <c r="O437" i="2"/>
  <c r="M436" i="2"/>
  <c r="O436" i="2"/>
  <c r="N436" i="2"/>
  <c r="N435" i="2"/>
  <c r="M435" i="2"/>
  <c r="O435" i="2"/>
  <c r="O434" i="2"/>
  <c r="N434" i="2"/>
  <c r="M434" i="2"/>
  <c r="M433" i="2"/>
  <c r="O433" i="2"/>
  <c r="N433" i="2"/>
  <c r="O424" i="2"/>
  <c r="N424" i="2"/>
  <c r="M424" i="2"/>
  <c r="O423" i="2"/>
  <c r="N423" i="2"/>
  <c r="M423" i="2"/>
  <c r="O422" i="2"/>
  <c r="N422" i="2"/>
  <c r="M422" i="2"/>
  <c r="N421" i="2"/>
  <c r="O421" i="2"/>
  <c r="M421" i="2"/>
  <c r="M420" i="2"/>
  <c r="O420" i="2"/>
  <c r="N420" i="2"/>
  <c r="O419" i="2"/>
  <c r="N419" i="2"/>
  <c r="M419" i="2"/>
  <c r="O418" i="2"/>
  <c r="N418" i="2"/>
  <c r="M418" i="2"/>
  <c r="M417" i="2"/>
  <c r="N417" i="2"/>
  <c r="O417" i="2"/>
  <c r="M416" i="2"/>
  <c r="N416" i="2"/>
  <c r="O416" i="2"/>
  <c r="N415" i="2"/>
  <c r="O415" i="2"/>
  <c r="M415" i="2"/>
  <c r="O414" i="2"/>
  <c r="N414" i="2"/>
  <c r="M414" i="2"/>
  <c r="M413" i="2"/>
  <c r="N413" i="2"/>
  <c r="O413" i="2"/>
  <c r="M412" i="2"/>
  <c r="N412" i="2"/>
  <c r="O412" i="2"/>
  <c r="M411" i="2"/>
  <c r="N411" i="2"/>
  <c r="O411" i="2"/>
  <c r="N410" i="2"/>
  <c r="O410" i="2"/>
  <c r="M410" i="2"/>
  <c r="M409" i="2"/>
  <c r="N409" i="2"/>
  <c r="O409" i="2"/>
  <c r="M408" i="2"/>
  <c r="N408" i="2"/>
  <c r="O408" i="2"/>
  <c r="N407" i="2"/>
  <c r="O407" i="2"/>
  <c r="M407" i="2"/>
  <c r="M406" i="2"/>
  <c r="O406" i="2"/>
  <c r="N406" i="2"/>
  <c r="O405" i="2"/>
  <c r="N405" i="2"/>
  <c r="M405" i="2"/>
  <c r="O404" i="2"/>
  <c r="N404" i="2"/>
  <c r="M404" i="2"/>
  <c r="O403" i="2"/>
  <c r="N403" i="2"/>
  <c r="M403" i="2"/>
  <c r="O402" i="2"/>
  <c r="N402" i="2"/>
  <c r="M402" i="2"/>
  <c r="O401" i="2"/>
  <c r="N401" i="2"/>
  <c r="M401" i="2"/>
  <c r="O400" i="2"/>
  <c r="N400" i="2"/>
  <c r="M400" i="2"/>
  <c r="N399" i="2"/>
  <c r="M399" i="2"/>
  <c r="N398" i="2"/>
  <c r="M398" i="2"/>
  <c r="O398" i="2"/>
  <c r="M397" i="2"/>
  <c r="N397" i="2"/>
  <c r="O397" i="2"/>
  <c r="O396" i="2"/>
  <c r="N396" i="2"/>
  <c r="M396" i="2"/>
  <c r="N395" i="2"/>
  <c r="O395" i="2"/>
  <c r="M395" i="2"/>
  <c r="O394" i="2"/>
  <c r="N394" i="2"/>
  <c r="M394" i="2"/>
  <c r="N393" i="2"/>
  <c r="O393" i="2"/>
  <c r="M393" i="2"/>
  <c r="M392" i="2"/>
  <c r="N392" i="2"/>
  <c r="O392" i="2"/>
  <c r="M391" i="2"/>
  <c r="N391" i="2"/>
  <c r="O391" i="2"/>
  <c r="M390" i="2"/>
  <c r="N390" i="2"/>
  <c r="O390" i="2"/>
  <c r="M389" i="2"/>
  <c r="N389" i="2"/>
  <c r="O389" i="2"/>
  <c r="M388" i="2"/>
  <c r="N388" i="2"/>
  <c r="O388" i="2"/>
  <c r="M387" i="2"/>
  <c r="N387" i="2"/>
  <c r="O387" i="2"/>
  <c r="M386" i="2"/>
  <c r="N386" i="2"/>
  <c r="O386" i="2"/>
  <c r="O385" i="2"/>
  <c r="N385" i="2"/>
  <c r="M385" i="2"/>
  <c r="O384" i="2"/>
  <c r="N384" i="2"/>
  <c r="M384" i="2"/>
  <c r="M383" i="2"/>
  <c r="N383" i="2"/>
  <c r="O383" i="2"/>
  <c r="M382" i="2"/>
  <c r="N382" i="2"/>
  <c r="O382" i="2"/>
  <c r="M381" i="2"/>
  <c r="N381" i="2"/>
  <c r="O381" i="2"/>
  <c r="N380" i="2"/>
  <c r="O380" i="2"/>
  <c r="M380" i="2"/>
  <c r="M379" i="2"/>
  <c r="N379" i="2"/>
  <c r="O379" i="2"/>
  <c r="N378" i="2"/>
  <c r="O378" i="2"/>
  <c r="M378" i="2"/>
  <c r="M377" i="2"/>
  <c r="O377" i="2"/>
  <c r="N377" i="2"/>
  <c r="O376" i="2"/>
  <c r="M376" i="2"/>
  <c r="N376" i="2"/>
  <c r="M375" i="2"/>
  <c r="N375" i="2"/>
  <c r="O375" i="2"/>
  <c r="M374" i="2"/>
  <c r="N374" i="2"/>
  <c r="O374" i="2"/>
  <c r="N373" i="2"/>
  <c r="O373" i="2"/>
  <c r="M373" i="2"/>
  <c r="O372" i="2"/>
  <c r="N372" i="2"/>
  <c r="O350" i="2"/>
  <c r="M350" i="2"/>
  <c r="N350" i="2"/>
  <c r="M349" i="2"/>
  <c r="O349" i="2"/>
  <c r="N349" i="2"/>
  <c r="N348" i="2"/>
  <c r="M348" i="2"/>
  <c r="O348" i="2"/>
  <c r="N345" i="2"/>
  <c r="M345" i="2"/>
  <c r="O345" i="2"/>
  <c r="O344" i="2"/>
  <c r="M344" i="2"/>
  <c r="N344" i="2"/>
  <c r="M343" i="2"/>
  <c r="N343" i="2"/>
  <c r="O343" i="2"/>
  <c r="N342" i="2"/>
  <c r="O342" i="2"/>
  <c r="N341" i="2"/>
  <c r="O341" i="2"/>
  <c r="M341" i="2"/>
  <c r="M340" i="2"/>
  <c r="O340" i="2"/>
  <c r="N340" i="2"/>
  <c r="N335" i="2"/>
  <c r="M335" i="2"/>
  <c r="O335" i="2"/>
  <c r="N330" i="2"/>
  <c r="M330" i="2"/>
  <c r="O330" i="2"/>
  <c r="M329" i="2"/>
  <c r="N329" i="2"/>
  <c r="O329" i="2"/>
  <c r="M328" i="2"/>
  <c r="N328" i="2"/>
  <c r="O328" i="2"/>
  <c r="M327" i="2"/>
  <c r="O327" i="2"/>
  <c r="N327" i="2"/>
  <c r="M326" i="2"/>
  <c r="N326" i="2"/>
  <c r="O326" i="2"/>
  <c r="M325" i="2"/>
  <c r="N325" i="2"/>
  <c r="O325" i="2"/>
  <c r="M324" i="2"/>
  <c r="O324" i="2"/>
  <c r="N324" i="2"/>
  <c r="O323" i="2"/>
  <c r="M323" i="2"/>
  <c r="N323" i="2"/>
  <c r="O322" i="2"/>
  <c r="N322" i="2"/>
  <c r="M322" i="2"/>
  <c r="O321" i="2"/>
  <c r="N321" i="2"/>
  <c r="M321" i="2"/>
  <c r="M320" i="2"/>
  <c r="O320" i="2"/>
  <c r="N320" i="2"/>
  <c r="O319" i="2"/>
  <c r="M319" i="2"/>
  <c r="N319" i="2"/>
  <c r="M318" i="2"/>
  <c r="N318" i="2"/>
  <c r="O318" i="2"/>
  <c r="N317" i="2"/>
  <c r="O317" i="2"/>
  <c r="M317" i="2"/>
  <c r="M316" i="2"/>
  <c r="N316" i="2"/>
  <c r="O316" i="2"/>
  <c r="N315" i="2"/>
  <c r="O315" i="2"/>
  <c r="M315" i="2"/>
  <c r="O314" i="2"/>
  <c r="N314" i="2"/>
  <c r="M314" i="2"/>
  <c r="O313" i="2"/>
  <c r="N313" i="2"/>
  <c r="M313" i="2"/>
  <c r="O312" i="2"/>
  <c r="N312" i="2"/>
  <c r="M312" i="2"/>
  <c r="N311" i="2"/>
  <c r="O311" i="2"/>
  <c r="M311" i="2"/>
  <c r="O310" i="2"/>
  <c r="N310" i="2"/>
  <c r="M310" i="2"/>
  <c r="O309" i="2"/>
  <c r="N309" i="2"/>
  <c r="M309" i="2"/>
  <c r="O308" i="2"/>
  <c r="N308" i="2"/>
  <c r="M308" i="2"/>
  <c r="O307" i="2"/>
  <c r="N307" i="2"/>
  <c r="M307" i="2"/>
  <c r="O306" i="2"/>
  <c r="N306" i="2"/>
  <c r="M306" i="2"/>
  <c r="O305" i="2"/>
  <c r="N305" i="2"/>
  <c r="M305" i="2"/>
  <c r="M304" i="2"/>
  <c r="N304" i="2"/>
  <c r="O304" i="2"/>
  <c r="M303" i="2"/>
  <c r="N303" i="2"/>
  <c r="O303" i="2"/>
  <c r="M302" i="2"/>
  <c r="N302" i="2"/>
  <c r="O302" i="2"/>
  <c r="M301" i="2"/>
  <c r="N301" i="2"/>
  <c r="O301" i="2"/>
  <c r="M300" i="2"/>
  <c r="N300" i="2"/>
  <c r="O300" i="2"/>
  <c r="N299" i="2"/>
  <c r="O299" i="2"/>
  <c r="M299" i="2"/>
  <c r="O298" i="2"/>
  <c r="N298" i="2"/>
  <c r="M298" i="2"/>
  <c r="O297" i="2"/>
  <c r="N297" i="2"/>
  <c r="M297" i="2"/>
  <c r="M275" i="2"/>
  <c r="N275" i="2"/>
  <c r="M274" i="2"/>
  <c r="N274" i="2"/>
  <c r="O274" i="2"/>
  <c r="M273" i="2"/>
  <c r="N273" i="2"/>
  <c r="O273" i="2"/>
  <c r="N272" i="2"/>
  <c r="M272" i="2"/>
  <c r="O272" i="2"/>
  <c r="N271" i="2"/>
  <c r="O271" i="2"/>
  <c r="M271" i="2"/>
  <c r="M270" i="2"/>
  <c r="O270" i="2"/>
  <c r="N270" i="2"/>
  <c r="O269" i="2"/>
  <c r="N269" i="2"/>
  <c r="M269" i="2"/>
  <c r="O268" i="2"/>
  <c r="N268" i="2"/>
  <c r="M268" i="2"/>
  <c r="O267" i="2"/>
  <c r="N267" i="2"/>
  <c r="M267" i="2"/>
  <c r="O266" i="2"/>
  <c r="N266" i="2"/>
  <c r="M266" i="2"/>
  <c r="O265" i="2"/>
  <c r="M265" i="2"/>
  <c r="N265" i="2"/>
  <c r="O264" i="2"/>
  <c r="N264" i="2"/>
  <c r="M264" i="2"/>
  <c r="O263" i="2"/>
  <c r="N263" i="2"/>
  <c r="M263" i="2"/>
  <c r="O262" i="2"/>
  <c r="N262" i="2"/>
  <c r="M262" i="2"/>
  <c r="O261" i="2"/>
  <c r="N261" i="2"/>
  <c r="M261" i="2"/>
  <c r="O260" i="2"/>
  <c r="N260" i="2"/>
  <c r="M260" i="2"/>
  <c r="M259" i="2"/>
  <c r="N259" i="2"/>
  <c r="O259" i="2"/>
  <c r="N258" i="2"/>
  <c r="M258" i="2"/>
  <c r="O258" i="2"/>
  <c r="O257" i="2"/>
  <c r="N257" i="2"/>
  <c r="M257" i="2"/>
  <c r="O256" i="2"/>
  <c r="N256" i="2"/>
  <c r="M256" i="2"/>
  <c r="O255" i="2"/>
  <c r="N255" i="2"/>
  <c r="M255" i="2"/>
  <c r="O254" i="2"/>
  <c r="N254" i="2"/>
  <c r="M254" i="2"/>
  <c r="M253" i="2"/>
  <c r="O253" i="2"/>
  <c r="N253" i="2"/>
  <c r="N252" i="2"/>
  <c r="M252" i="2"/>
  <c r="O252" i="2"/>
  <c r="M251" i="2"/>
  <c r="O251" i="2"/>
  <c r="N251" i="2"/>
  <c r="N250" i="2"/>
  <c r="M250" i="2"/>
  <c r="O250" i="2"/>
  <c r="O249" i="2"/>
  <c r="N249" i="2"/>
  <c r="M249" i="2"/>
  <c r="O248" i="2"/>
  <c r="N248" i="2"/>
  <c r="M248" i="2"/>
  <c r="O247" i="2"/>
  <c r="N247" i="2"/>
  <c r="M247" i="2"/>
  <c r="O246" i="2"/>
  <c r="N246" i="2"/>
  <c r="M246" i="2"/>
  <c r="O245" i="2"/>
  <c r="N245" i="2"/>
  <c r="M245" i="2"/>
  <c r="M244" i="2"/>
  <c r="N244" i="2"/>
  <c r="O244" i="2"/>
  <c r="N232" i="2"/>
  <c r="M232" i="2"/>
  <c r="O232" i="2"/>
  <c r="O231" i="2"/>
  <c r="M231" i="2"/>
  <c r="N231" i="2"/>
  <c r="M230" i="2"/>
  <c r="O230" i="2"/>
  <c r="N230" i="2"/>
  <c r="M229" i="2"/>
  <c r="O229" i="2"/>
  <c r="N229" i="2"/>
  <c r="O228" i="2"/>
  <c r="N228" i="2"/>
  <c r="M228" i="2"/>
  <c r="N227" i="2"/>
  <c r="O227" i="2"/>
  <c r="M227" i="2"/>
  <c r="O226" i="2"/>
  <c r="N226" i="2"/>
  <c r="M226" i="2"/>
  <c r="M225" i="2"/>
  <c r="O225" i="2"/>
  <c r="N225" i="2"/>
  <c r="O224" i="2"/>
  <c r="M224" i="2"/>
  <c r="N224" i="2"/>
  <c r="M223" i="2"/>
  <c r="O223" i="2"/>
  <c r="N113" i="2"/>
  <c r="O113" i="2"/>
  <c r="M113" i="2"/>
  <c r="O111" i="2"/>
  <c r="M111" i="2"/>
  <c r="N111" i="2"/>
  <c r="O110" i="2"/>
  <c r="N110" i="2"/>
  <c r="M110" i="2"/>
  <c r="M106" i="2"/>
  <c r="N106" i="2"/>
  <c r="O106" i="2"/>
  <c r="O105" i="2"/>
  <c r="N105" i="2"/>
  <c r="M105" i="2"/>
  <c r="M101" i="2"/>
  <c r="O101" i="2"/>
  <c r="N101" i="2"/>
  <c r="N99" i="2"/>
  <c r="O99" i="2"/>
  <c r="M99" i="2"/>
  <c r="O97" i="2"/>
  <c r="M97" i="2"/>
  <c r="N97" i="2"/>
  <c r="N96" i="2"/>
  <c r="O96" i="2"/>
  <c r="M96" i="2"/>
  <c r="O95" i="2"/>
  <c r="N95" i="2"/>
  <c r="M95" i="2"/>
  <c r="O94" i="2"/>
  <c r="M94" i="2"/>
  <c r="N94" i="2"/>
  <c r="M93" i="2"/>
  <c r="O93" i="2"/>
  <c r="N93" i="2"/>
  <c r="O91" i="2"/>
  <c r="N91" i="2"/>
  <c r="M91" i="2"/>
  <c r="O90" i="2"/>
  <c r="M90" i="2"/>
  <c r="N90" i="2"/>
  <c r="O89" i="2"/>
  <c r="N89" i="2"/>
  <c r="M89" i="2"/>
  <c r="M88" i="2"/>
  <c r="O88" i="2"/>
  <c r="N88" i="2"/>
  <c r="N87" i="2"/>
  <c r="M87" i="2"/>
  <c r="O87" i="2"/>
  <c r="O84" i="2"/>
  <c r="M84" i="2"/>
  <c r="N84" i="2"/>
  <c r="M82" i="2"/>
  <c r="O82" i="2"/>
  <c r="N82" i="2"/>
  <c r="M81" i="2"/>
  <c r="N81" i="2"/>
  <c r="O81" i="2"/>
  <c r="N80" i="2"/>
  <c r="O80" i="2"/>
  <c r="M80" i="2"/>
  <c r="M79" i="2"/>
  <c r="N79" i="2"/>
  <c r="O79" i="2"/>
  <c r="M77" i="2"/>
  <c r="O77" i="2"/>
  <c r="N77" i="2"/>
  <c r="N76" i="2"/>
  <c r="M76" i="2"/>
  <c r="O76" i="2"/>
  <c r="N74" i="2"/>
  <c r="M67" i="2"/>
  <c r="O67" i="2"/>
  <c r="N67" i="2"/>
  <c r="N63" i="2"/>
  <c r="M63" i="2"/>
  <c r="O63" i="2"/>
  <c r="M62" i="2"/>
  <c r="N62" i="2"/>
  <c r="O62" i="2"/>
  <c r="O61" i="2"/>
  <c r="N61" i="2"/>
  <c r="M61" i="2"/>
  <c r="M58" i="2"/>
  <c r="N58" i="2"/>
  <c r="O58" i="2"/>
  <c r="N56" i="2"/>
  <c r="O56" i="2"/>
  <c r="M56" i="2"/>
  <c r="M53" i="2"/>
  <c r="N53" i="2"/>
  <c r="O53" i="2"/>
  <c r="M52" i="2"/>
  <c r="N52" i="2"/>
  <c r="O52" i="2"/>
  <c r="N50" i="2"/>
  <c r="O50" i="2"/>
  <c r="M50" i="2"/>
  <c r="N49" i="2"/>
  <c r="O49" i="2"/>
  <c r="M49" i="2"/>
  <c r="N45" i="2"/>
  <c r="O45" i="2"/>
  <c r="M45" i="2"/>
  <c r="M44" i="2"/>
  <c r="N44" i="2"/>
  <c r="O44" i="2"/>
  <c r="O43" i="2"/>
  <c r="M43" i="2"/>
  <c r="N43" i="2"/>
  <c r="N42" i="2"/>
  <c r="O42" i="2"/>
  <c r="M42" i="2"/>
  <c r="M36" i="2"/>
  <c r="O36" i="2"/>
  <c r="N36" i="2"/>
  <c r="O35" i="2"/>
  <c r="M35" i="2"/>
  <c r="N35" i="2"/>
  <c r="O34" i="2"/>
  <c r="N34" i="2"/>
  <c r="M34" i="2"/>
  <c r="M32" i="2"/>
  <c r="O32" i="2"/>
  <c r="N32" i="2"/>
  <c r="M31" i="2"/>
  <c r="N31" i="2"/>
  <c r="O31" i="2"/>
  <c r="N29" i="2"/>
  <c r="M29" i="2"/>
  <c r="O29" i="2"/>
  <c r="N27" i="2"/>
  <c r="M27" i="2"/>
  <c r="O27" i="2"/>
  <c r="N25" i="2"/>
  <c r="M25" i="2"/>
  <c r="O25" i="2"/>
  <c r="M23" i="2"/>
  <c r="N23" i="2"/>
  <c r="O23" i="2"/>
  <c r="O22" i="2"/>
  <c r="N22" i="2"/>
  <c r="M22" i="2"/>
  <c r="N21" i="2"/>
  <c r="M21" i="2"/>
  <c r="O21" i="2"/>
  <c r="O20" i="2"/>
  <c r="M20" i="2"/>
  <c r="N20" i="2"/>
  <c r="N17" i="2"/>
  <c r="O17" i="2"/>
  <c r="M17" i="2"/>
  <c r="N15" i="2"/>
  <c r="O15" i="2"/>
  <c r="M15" i="2"/>
  <c r="O13" i="2"/>
  <c r="M13" i="2"/>
  <c r="N13" i="2"/>
  <c r="N12" i="2"/>
  <c r="M12" i="2"/>
  <c r="O12" i="2"/>
  <c r="N11" i="2"/>
  <c r="M11" i="2"/>
  <c r="O11" i="2"/>
  <c r="O9" i="2"/>
  <c r="N9" i="2"/>
  <c r="M9" i="2"/>
  <c r="R8" i="2"/>
  <c r="T7" i="2"/>
  <c r="B18" i="3"/>
  <c r="C18" i="3"/>
  <c r="D18" i="3"/>
  <c r="B17" i="3"/>
  <c r="C17" i="3"/>
  <c r="D17" i="3"/>
  <c r="M342" i="2"/>
  <c r="M442" i="2"/>
  <c r="M336" i="2"/>
  <c r="M331" i="2"/>
  <c r="E9" i="3" l="1"/>
  <c r="C9" i="3"/>
  <c r="D9" i="3"/>
  <c r="D28" i="6" s="1"/>
  <c r="E16" i="3"/>
  <c r="E17" i="3"/>
  <c r="E18" i="3"/>
  <c r="B19" i="3"/>
  <c r="C19" i="3"/>
  <c r="D19" i="3"/>
  <c r="E19" i="3"/>
  <c r="N164" i="2"/>
  <c r="O164" i="2"/>
  <c r="O331" i="2"/>
  <c r="N331" i="2"/>
  <c r="N442" i="2"/>
  <c r="O442" i="2"/>
  <c r="G7" i="3"/>
  <c r="C26" i="6"/>
  <c r="C11" i="4"/>
  <c r="C14" i="4"/>
  <c r="C20" i="4"/>
  <c r="B22" i="5"/>
  <c r="B49" i="5"/>
  <c r="B50" i="5"/>
  <c r="B51" i="5"/>
  <c r="B52" i="5"/>
  <c r="B53" i="5"/>
  <c r="B54" i="5"/>
  <c r="B55" i="5"/>
  <c r="B56" i="5"/>
  <c r="B57" i="5"/>
  <c r="F25" i="3"/>
  <c r="B23" i="5"/>
  <c r="D29" i="6"/>
  <c r="F10" i="3"/>
  <c r="E29" i="6"/>
  <c r="F8" i="3"/>
  <c r="D7" i="4"/>
  <c r="D8" i="4" s="1"/>
  <c r="B11" i="5"/>
  <c r="C11" i="5"/>
  <c r="D11" i="5"/>
  <c r="E11" i="5"/>
  <c r="F11" i="5"/>
  <c r="G11" i="5"/>
  <c r="E27" i="6"/>
  <c r="F6" i="3"/>
  <c r="B7" i="4"/>
  <c r="B8" i="4" s="1"/>
  <c r="B9" i="5"/>
  <c r="B13" i="5" s="1"/>
  <c r="C9" i="5"/>
  <c r="C13" i="5" s="1"/>
  <c r="D9" i="5"/>
  <c r="D13" i="5" s="1"/>
  <c r="E9" i="5"/>
  <c r="E13" i="5" s="1"/>
  <c r="F9" i="5"/>
  <c r="F13" i="5" s="1"/>
  <c r="G9" i="5"/>
  <c r="G13" i="5" s="1"/>
  <c r="E25" i="6"/>
  <c r="A41" i="6"/>
  <c r="R9" i="2"/>
  <c r="T8" i="2"/>
  <c r="A42" i="6"/>
  <c r="A85" i="5"/>
  <c r="C84" i="5"/>
  <c r="D84" i="5"/>
  <c r="M500" i="2"/>
  <c r="N500" i="2"/>
  <c r="O500" i="2"/>
  <c r="M508" i="2"/>
  <c r="O508" i="2"/>
  <c r="N508" i="2"/>
  <c r="N501" i="2"/>
  <c r="O501" i="2"/>
  <c r="M501" i="2"/>
  <c r="N7" i="2"/>
  <c r="M7" i="2"/>
  <c r="O7" i="2"/>
  <c r="N26" i="2"/>
  <c r="M26" i="2"/>
  <c r="O26" i="2"/>
  <c r="N33" i="2"/>
  <c r="O33" i="2"/>
  <c r="M33" i="2"/>
  <c r="M40" i="2"/>
  <c r="O40" i="2"/>
  <c r="N40" i="2"/>
  <c r="N41" i="2"/>
  <c r="M41" i="2"/>
  <c r="O41" i="2"/>
  <c r="O54" i="2"/>
  <c r="M54" i="2"/>
  <c r="N54" i="2"/>
  <c r="O55" i="2"/>
  <c r="N55" i="2"/>
  <c r="M55" i="2"/>
  <c r="M59" i="2"/>
  <c r="N59" i="2"/>
  <c r="O59" i="2"/>
  <c r="M64" i="2"/>
  <c r="O64" i="2"/>
  <c r="N64" i="2"/>
  <c r="O66" i="2"/>
  <c r="N66" i="2"/>
  <c r="M66" i="2"/>
  <c r="M78" i="2"/>
  <c r="O78" i="2"/>
  <c r="N78" i="2"/>
  <c r="N83" i="2"/>
  <c r="M83" i="2"/>
  <c r="O83" i="2"/>
  <c r="N103" i="2"/>
  <c r="M103" i="2"/>
  <c r="O103" i="2"/>
  <c r="M107" i="2"/>
  <c r="O107" i="2"/>
  <c r="N107" i="2"/>
  <c r="N114" i="2"/>
  <c r="O114" i="2"/>
  <c r="M114" i="2"/>
  <c r="N117" i="2"/>
  <c r="O117" i="2"/>
  <c r="M117" i="2"/>
  <c r="O118" i="2"/>
  <c r="N118" i="2"/>
  <c r="M118" i="2"/>
  <c r="O119" i="2"/>
  <c r="N119" i="2"/>
  <c r="M119" i="2"/>
  <c r="M120" i="2"/>
  <c r="N120" i="2"/>
  <c r="O120" i="2"/>
  <c r="N121" i="2"/>
  <c r="M121" i="2"/>
  <c r="O121" i="2"/>
  <c r="M122" i="2"/>
  <c r="O122" i="2"/>
  <c r="N122" i="2"/>
  <c r="O131" i="2"/>
  <c r="M131" i="2"/>
  <c r="N131" i="2"/>
  <c r="N134" i="2"/>
  <c r="M134" i="2"/>
  <c r="O134" i="2"/>
  <c r="O135" i="2"/>
  <c r="M135" i="2"/>
  <c r="N135" i="2"/>
  <c r="O143" i="2"/>
  <c r="N143" i="2"/>
  <c r="M143" i="2"/>
  <c r="M144" i="2"/>
  <c r="N144" i="2"/>
  <c r="O144" i="2"/>
  <c r="M147" i="2"/>
  <c r="N147" i="2"/>
  <c r="O147" i="2"/>
  <c r="O152" i="2"/>
  <c r="N152" i="2"/>
  <c r="M152" i="2"/>
  <c r="M154" i="2"/>
  <c r="O154" i="2"/>
  <c r="N154" i="2"/>
  <c r="N8" i="2"/>
  <c r="M8" i="2"/>
  <c r="O8" i="2"/>
  <c r="N16" i="2"/>
  <c r="O16" i="2"/>
  <c r="M16" i="2"/>
  <c r="N28" i="2"/>
  <c r="O28" i="2"/>
  <c r="M28" i="2"/>
  <c r="N30" i="2"/>
  <c r="M30" i="2"/>
  <c r="O30" i="2"/>
  <c r="M37" i="2"/>
  <c r="O37" i="2"/>
  <c r="N37" i="2"/>
  <c r="N38" i="2"/>
  <c r="M38" i="2"/>
  <c r="O38" i="2"/>
  <c r="N46" i="2"/>
  <c r="M46" i="2"/>
  <c r="O46" i="2"/>
  <c r="O47" i="2"/>
  <c r="N47" i="2"/>
  <c r="M47" i="2"/>
  <c r="O48" i="2"/>
  <c r="N48" i="2"/>
  <c r="M48" i="2"/>
  <c r="O51" i="2"/>
  <c r="N51" i="2"/>
  <c r="M51" i="2"/>
  <c r="M57" i="2"/>
  <c r="O57" i="2"/>
  <c r="N57" i="2"/>
  <c r="M60" i="2"/>
  <c r="O60" i="2"/>
  <c r="N60" i="2"/>
  <c r="N65" i="2"/>
  <c r="M65" i="2"/>
  <c r="O65" i="2"/>
  <c r="M71" i="2"/>
  <c r="N71" i="2"/>
  <c r="O71" i="2"/>
  <c r="M75" i="2"/>
  <c r="O75" i="2"/>
  <c r="N75" i="2"/>
  <c r="O86" i="2"/>
  <c r="M86" i="2"/>
  <c r="N86" i="2"/>
  <c r="O98" i="2"/>
  <c r="N98" i="2"/>
  <c r="M98" i="2"/>
  <c r="M100" i="2"/>
  <c r="N100" i="2"/>
  <c r="O100" i="2"/>
  <c r="N104" i="2"/>
  <c r="M104" i="2"/>
  <c r="O104" i="2"/>
  <c r="M108" i="2"/>
  <c r="N108" i="2"/>
  <c r="O108" i="2"/>
  <c r="O112" i="2"/>
  <c r="M112" i="2"/>
  <c r="N112" i="2"/>
  <c r="O115" i="2"/>
  <c r="N115" i="2"/>
  <c r="M115" i="2"/>
  <c r="O116" i="2"/>
  <c r="M116" i="2"/>
  <c r="N116" i="2"/>
  <c r="M123" i="2"/>
  <c r="N123" i="2"/>
  <c r="O123" i="2"/>
  <c r="N124" i="2"/>
  <c r="O124" i="2"/>
  <c r="M124" i="2"/>
  <c r="M125" i="2"/>
  <c r="N125" i="2"/>
  <c r="O125" i="2"/>
  <c r="O126" i="2"/>
  <c r="N126" i="2"/>
  <c r="M126" i="2"/>
  <c r="N127" i="2"/>
  <c r="M127" i="2"/>
  <c r="O127" i="2"/>
  <c r="O128" i="2"/>
  <c r="N128" i="2"/>
  <c r="M128" i="2"/>
  <c r="N129" i="2"/>
  <c r="M129" i="2"/>
  <c r="O129" i="2"/>
  <c r="O130" i="2"/>
  <c r="N130" i="2"/>
  <c r="M130" i="2"/>
  <c r="O132" i="2"/>
  <c r="N132" i="2"/>
  <c r="M132" i="2"/>
  <c r="O133" i="2"/>
  <c r="M133" i="2"/>
  <c r="N133" i="2"/>
  <c r="O136" i="2"/>
  <c r="N136" i="2"/>
  <c r="M136" i="2"/>
  <c r="O137" i="2"/>
  <c r="N137" i="2"/>
  <c r="M137" i="2"/>
  <c r="N138" i="2"/>
  <c r="M138" i="2"/>
  <c r="O138" i="2"/>
  <c r="O139" i="2"/>
  <c r="M139" i="2"/>
  <c r="N139" i="2"/>
  <c r="M140" i="2"/>
  <c r="N140" i="2"/>
  <c r="O140" i="2"/>
  <c r="O141" i="2"/>
  <c r="M141" i="2"/>
  <c r="N141" i="2"/>
  <c r="O142" i="2"/>
  <c r="N142" i="2"/>
  <c r="M142" i="2"/>
  <c r="N145" i="2"/>
  <c r="M145" i="2"/>
  <c r="O145" i="2"/>
  <c r="N146" i="2"/>
  <c r="M146" i="2"/>
  <c r="O146" i="2"/>
  <c r="N148" i="2"/>
  <c r="O148" i="2"/>
  <c r="M148" i="2"/>
  <c r="M149" i="2"/>
  <c r="O149" i="2"/>
  <c r="N149" i="2"/>
  <c r="N150" i="2"/>
  <c r="O150" i="2"/>
  <c r="M150" i="2"/>
  <c r="M151" i="2"/>
  <c r="O151" i="2"/>
  <c r="N151" i="2"/>
  <c r="O153" i="2"/>
  <c r="M153" i="2"/>
  <c r="N153" i="2"/>
  <c r="M155" i="2"/>
  <c r="N155" i="2"/>
  <c r="O155" i="2"/>
  <c r="M156" i="2"/>
  <c r="O156" i="2"/>
  <c r="N156" i="2"/>
  <c r="M157" i="2"/>
  <c r="O157" i="2"/>
  <c r="N157" i="2"/>
  <c r="M158" i="2"/>
  <c r="O158" i="2"/>
  <c r="N158" i="2"/>
  <c r="N159" i="2"/>
  <c r="O159" i="2"/>
  <c r="M159" i="2"/>
  <c r="N160" i="2"/>
  <c r="M160" i="2"/>
  <c r="O160" i="2"/>
  <c r="M161" i="2"/>
  <c r="N161" i="2"/>
  <c r="O161" i="2"/>
  <c r="M162" i="2"/>
  <c r="O162" i="2"/>
  <c r="N162" i="2"/>
  <c r="O163" i="2"/>
  <c r="N163" i="2"/>
  <c r="M163" i="2"/>
  <c r="M165" i="2"/>
  <c r="O165" i="2"/>
  <c r="N165" i="2"/>
  <c r="O166" i="2"/>
  <c r="N166" i="2"/>
  <c r="M166" i="2"/>
  <c r="M167" i="2"/>
  <c r="O167" i="2"/>
  <c r="N167" i="2"/>
  <c r="O168" i="2"/>
  <c r="M168" i="2"/>
  <c r="N168" i="2"/>
  <c r="N169" i="2"/>
  <c r="M169" i="2"/>
  <c r="O169" i="2"/>
  <c r="M170" i="2"/>
  <c r="O170" i="2"/>
  <c r="N170" i="2"/>
  <c r="O171" i="2"/>
  <c r="N171" i="2"/>
  <c r="M171" i="2"/>
  <c r="O172" i="2"/>
  <c r="M172" i="2"/>
  <c r="N172" i="2"/>
  <c r="N173" i="2"/>
  <c r="O173" i="2"/>
  <c r="M173" i="2"/>
  <c r="M174" i="2"/>
  <c r="O174" i="2"/>
  <c r="N174" i="2"/>
  <c r="O175" i="2"/>
  <c r="M175" i="2"/>
  <c r="N175" i="2"/>
  <c r="N176" i="2"/>
  <c r="M176" i="2"/>
  <c r="O176" i="2"/>
  <c r="O177" i="2"/>
  <c r="N177" i="2"/>
  <c r="M177" i="2"/>
  <c r="N178" i="2"/>
  <c r="O178" i="2"/>
  <c r="M178" i="2"/>
  <c r="O179" i="2"/>
  <c r="N179" i="2"/>
  <c r="M179" i="2"/>
  <c r="M180" i="2"/>
  <c r="N180" i="2"/>
  <c r="O180" i="2"/>
  <c r="N181" i="2"/>
  <c r="M181" i="2"/>
  <c r="O181" i="2"/>
  <c r="O182" i="2"/>
  <c r="N182" i="2"/>
  <c r="M182" i="2"/>
  <c r="O183" i="2"/>
  <c r="M183" i="2"/>
  <c r="N183" i="2"/>
  <c r="N184" i="2"/>
  <c r="M184" i="2"/>
  <c r="O184" i="2"/>
  <c r="N185" i="2"/>
  <c r="M185" i="2"/>
  <c r="O185" i="2"/>
  <c r="N186" i="2"/>
  <c r="M186" i="2"/>
  <c r="O186" i="2"/>
  <c r="M187" i="2"/>
  <c r="N187" i="2"/>
  <c r="O187" i="2"/>
  <c r="N188" i="2"/>
  <c r="O188" i="2"/>
  <c r="M188" i="2"/>
  <c r="O189" i="2"/>
  <c r="N189" i="2"/>
  <c r="M189" i="2"/>
  <c r="O190" i="2"/>
  <c r="N190" i="2"/>
  <c r="M190" i="2"/>
  <c r="O191" i="2"/>
  <c r="M191" i="2"/>
  <c r="N191" i="2"/>
  <c r="M192" i="2"/>
  <c r="O192" i="2"/>
  <c r="N192" i="2"/>
  <c r="M193" i="2"/>
  <c r="O193" i="2"/>
  <c r="N193" i="2"/>
  <c r="O194" i="2"/>
  <c r="M194" i="2"/>
  <c r="N194" i="2"/>
  <c r="M195" i="2"/>
  <c r="O195" i="2"/>
  <c r="N195" i="2"/>
  <c r="O196" i="2"/>
  <c r="N196" i="2"/>
  <c r="M196" i="2"/>
  <c r="N197" i="2"/>
  <c r="M197" i="2"/>
  <c r="O197" i="2"/>
  <c r="M198" i="2"/>
  <c r="N198" i="2"/>
  <c r="O198" i="2"/>
  <c r="M199" i="2"/>
  <c r="O199" i="2"/>
  <c r="N199" i="2"/>
  <c r="N200" i="2"/>
  <c r="M200" i="2"/>
  <c r="O200" i="2"/>
  <c r="N201" i="2"/>
  <c r="M201" i="2"/>
  <c r="O201" i="2"/>
  <c r="M202" i="2"/>
  <c r="N202" i="2"/>
  <c r="O202" i="2"/>
  <c r="N203" i="2"/>
  <c r="M203" i="2"/>
  <c r="O203" i="2"/>
  <c r="O204" i="2"/>
  <c r="N204" i="2"/>
  <c r="M204" i="2"/>
  <c r="N205" i="2"/>
  <c r="O205" i="2"/>
  <c r="M205" i="2"/>
  <c r="N206" i="2"/>
  <c r="M206" i="2"/>
  <c r="O206" i="2"/>
  <c r="N207" i="2"/>
  <c r="O207" i="2"/>
  <c r="M207" i="2"/>
  <c r="M208" i="2"/>
  <c r="O208" i="2"/>
  <c r="N208" i="2"/>
  <c r="O209" i="2"/>
  <c r="N209" i="2"/>
  <c r="M209" i="2"/>
  <c r="N210" i="2"/>
  <c r="M210" i="2"/>
  <c r="O210" i="2"/>
  <c r="M211" i="2"/>
  <c r="O211" i="2"/>
  <c r="N211" i="2"/>
  <c r="O212" i="2"/>
  <c r="M212" i="2"/>
  <c r="N212" i="2"/>
  <c r="O213" i="2"/>
  <c r="N213" i="2"/>
  <c r="M213" i="2"/>
  <c r="N214" i="2"/>
  <c r="M214" i="2"/>
  <c r="O214" i="2"/>
  <c r="O215" i="2"/>
  <c r="N215" i="2"/>
  <c r="M215" i="2"/>
  <c r="M216" i="2"/>
  <c r="N216" i="2"/>
  <c r="O216" i="2"/>
  <c r="N217" i="2"/>
  <c r="O217" i="2"/>
  <c r="M217" i="2"/>
  <c r="O218" i="2"/>
  <c r="N218" i="2"/>
  <c r="M218" i="2"/>
  <c r="O219" i="2"/>
  <c r="N219" i="2"/>
  <c r="M219" i="2"/>
  <c r="M523" i="2"/>
  <c r="N523" i="2"/>
  <c r="O523" i="2"/>
  <c r="N10" i="2"/>
  <c r="O10" i="2"/>
  <c r="M10" i="2"/>
  <c r="N14" i="2"/>
  <c r="O14" i="2"/>
  <c r="M14" i="2"/>
  <c r="N18" i="2"/>
  <c r="O18" i="2"/>
  <c r="M18" i="2"/>
  <c r="O19" i="2"/>
  <c r="N19" i="2"/>
  <c r="M19" i="2"/>
  <c r="O24" i="2"/>
  <c r="M24" i="2"/>
  <c r="N24" i="2"/>
  <c r="N39" i="2"/>
  <c r="O39" i="2"/>
  <c r="M39" i="2"/>
  <c r="O85" i="2"/>
  <c r="M85" i="2"/>
  <c r="N85" i="2"/>
  <c r="N92" i="2"/>
  <c r="M92" i="2"/>
  <c r="O92" i="2"/>
  <c r="M102" i="2"/>
  <c r="O102" i="2"/>
  <c r="N102" i="2"/>
  <c r="O109" i="2"/>
  <c r="M109" i="2"/>
  <c r="N109" i="2"/>
  <c r="N233" i="2"/>
  <c r="O233" i="2"/>
  <c r="M233" i="2"/>
  <c r="N234" i="2"/>
  <c r="M234" i="2"/>
  <c r="O234" i="2"/>
  <c r="M235" i="2"/>
  <c r="N235" i="2"/>
  <c r="O235" i="2"/>
  <c r="M236" i="2"/>
  <c r="N236" i="2"/>
  <c r="O236" i="2"/>
  <c r="O237" i="2"/>
  <c r="M237" i="2"/>
  <c r="N237" i="2"/>
  <c r="O238" i="2"/>
  <c r="M238" i="2"/>
  <c r="N238" i="2"/>
  <c r="M239" i="2"/>
  <c r="N239" i="2"/>
  <c r="O239" i="2"/>
  <c r="O240" i="2"/>
  <c r="M240" i="2"/>
  <c r="N240" i="2"/>
  <c r="O241" i="2"/>
  <c r="N241" i="2"/>
  <c r="M241" i="2"/>
  <c r="M242" i="2"/>
  <c r="O242" i="2"/>
  <c r="N242" i="2"/>
  <c r="N243" i="2"/>
  <c r="O243" i="2"/>
  <c r="M243" i="2"/>
  <c r="M74" i="2"/>
  <c r="O74" i="2"/>
  <c r="N281" i="2"/>
  <c r="O281" i="2"/>
  <c r="M281" i="2"/>
  <c r="N285" i="2"/>
  <c r="M285" i="2"/>
  <c r="O285" i="2"/>
  <c r="O289" i="2"/>
  <c r="M289" i="2"/>
  <c r="N289" i="2"/>
  <c r="O290" i="2"/>
  <c r="N290" i="2"/>
  <c r="M290" i="2"/>
  <c r="M291" i="2"/>
  <c r="N291" i="2"/>
  <c r="O291" i="2"/>
  <c r="N292" i="2"/>
  <c r="O292" i="2"/>
  <c r="M292" i="2"/>
  <c r="M293" i="2"/>
  <c r="N293" i="2"/>
  <c r="O293" i="2"/>
  <c r="O294" i="2"/>
  <c r="M294" i="2"/>
  <c r="N294" i="2"/>
  <c r="O295" i="2"/>
  <c r="N295" i="2"/>
  <c r="M295" i="2"/>
  <c r="M296" i="2"/>
  <c r="N296" i="2"/>
  <c r="O296" i="2"/>
  <c r="M68" i="2"/>
  <c r="N68" i="2"/>
  <c r="O68" i="2"/>
  <c r="N72" i="2"/>
  <c r="M72" i="2"/>
  <c r="O72" i="2"/>
  <c r="M277" i="2"/>
  <c r="N277" i="2"/>
  <c r="O277" i="2"/>
  <c r="N279" i="2"/>
  <c r="M279" i="2"/>
  <c r="O279" i="2"/>
  <c r="M282" i="2"/>
  <c r="N282" i="2"/>
  <c r="O282" i="2"/>
  <c r="M283" i="2"/>
  <c r="N283" i="2"/>
  <c r="O283" i="2"/>
  <c r="M346" i="2"/>
  <c r="O346" i="2"/>
  <c r="N346" i="2"/>
  <c r="O347" i="2"/>
  <c r="N347" i="2"/>
  <c r="M347" i="2"/>
  <c r="O355" i="2"/>
  <c r="M355" i="2"/>
  <c r="N355" i="2"/>
  <c r="N356" i="2"/>
  <c r="O356" i="2"/>
  <c r="M356" i="2"/>
  <c r="M364" i="2"/>
  <c r="O364" i="2"/>
  <c r="N364" i="2"/>
  <c r="O367" i="2"/>
  <c r="M367" i="2"/>
  <c r="N367" i="2"/>
  <c r="M368" i="2"/>
  <c r="O368" i="2"/>
  <c r="N368" i="2"/>
  <c r="O369" i="2"/>
  <c r="N369" i="2"/>
  <c r="M369" i="2"/>
  <c r="N370" i="2"/>
  <c r="M370" i="2"/>
  <c r="O370" i="2"/>
  <c r="M371" i="2"/>
  <c r="N371" i="2"/>
  <c r="O371" i="2"/>
  <c r="N507" i="2"/>
  <c r="O507" i="2"/>
  <c r="M507" i="2"/>
  <c r="M510" i="2"/>
  <c r="N510" i="2"/>
  <c r="O510" i="2"/>
  <c r="M69" i="2"/>
  <c r="N69" i="2"/>
  <c r="O69" i="2"/>
  <c r="N70" i="2"/>
  <c r="M70" i="2"/>
  <c r="O70" i="2"/>
  <c r="N73" i="2"/>
  <c r="O73" i="2"/>
  <c r="M73" i="2"/>
  <c r="M220" i="2"/>
  <c r="N220" i="2"/>
  <c r="O220" i="2"/>
  <c r="N221" i="2"/>
  <c r="O221" i="2"/>
  <c r="M221" i="2"/>
  <c r="M222" i="2"/>
  <c r="O222" i="2"/>
  <c r="N222" i="2"/>
  <c r="O276" i="2"/>
  <c r="N276" i="2"/>
  <c r="M276" i="2"/>
  <c r="N278" i="2"/>
  <c r="O278" i="2"/>
  <c r="M278" i="2"/>
  <c r="M280" i="2"/>
  <c r="N280" i="2"/>
  <c r="O280" i="2"/>
  <c r="M284" i="2"/>
  <c r="O284" i="2"/>
  <c r="N284" i="2"/>
  <c r="N286" i="2"/>
  <c r="O286" i="2"/>
  <c r="M286" i="2"/>
  <c r="O287" i="2"/>
  <c r="M287" i="2"/>
  <c r="N287" i="2"/>
  <c r="O288" i="2"/>
  <c r="M288" i="2"/>
  <c r="N288" i="2"/>
  <c r="O332" i="2"/>
  <c r="M332" i="2"/>
  <c r="N332" i="2"/>
  <c r="N333" i="2"/>
  <c r="M333" i="2"/>
  <c r="O333" i="2"/>
  <c r="O334" i="2"/>
  <c r="N334" i="2"/>
  <c r="M334" i="2"/>
  <c r="O336" i="2"/>
  <c r="N336" i="2"/>
  <c r="N337" i="2"/>
  <c r="M337" i="2"/>
  <c r="O337" i="2"/>
  <c r="O338" i="2"/>
  <c r="N338" i="2"/>
  <c r="M338" i="2"/>
  <c r="N339" i="2"/>
  <c r="M339" i="2"/>
  <c r="O339" i="2"/>
  <c r="N351" i="2"/>
  <c r="O351" i="2"/>
  <c r="M351" i="2"/>
  <c r="N352" i="2"/>
  <c r="M352" i="2"/>
  <c r="O352" i="2"/>
  <c r="N354" i="2"/>
  <c r="M354" i="2"/>
  <c r="O354" i="2"/>
  <c r="M425" i="2"/>
  <c r="O425" i="2"/>
  <c r="N425" i="2"/>
  <c r="M426" i="2"/>
  <c r="O426" i="2"/>
  <c r="N426" i="2"/>
  <c r="N427" i="2"/>
  <c r="M427" i="2"/>
  <c r="O427" i="2"/>
  <c r="N428" i="2"/>
  <c r="M428" i="2"/>
  <c r="O428" i="2"/>
  <c r="O429" i="2"/>
  <c r="N429" i="2"/>
  <c r="M429" i="2"/>
  <c r="O430" i="2"/>
  <c r="M430" i="2"/>
  <c r="N430" i="2"/>
  <c r="M431" i="2"/>
  <c r="N431" i="2"/>
  <c r="O431" i="2"/>
  <c r="N432" i="2"/>
  <c r="O432" i="2"/>
  <c r="M432" i="2"/>
  <c r="O353" i="2"/>
  <c r="N353" i="2"/>
  <c r="M353" i="2"/>
  <c r="O357" i="2"/>
  <c r="M357" i="2"/>
  <c r="N357" i="2"/>
  <c r="N358" i="2"/>
  <c r="O358" i="2"/>
  <c r="M358" i="2"/>
  <c r="N359" i="2"/>
  <c r="M359" i="2"/>
  <c r="O359" i="2"/>
  <c r="O360" i="2"/>
  <c r="M360" i="2"/>
  <c r="N360" i="2"/>
  <c r="N361" i="2"/>
  <c r="O361" i="2"/>
  <c r="M361" i="2"/>
  <c r="O362" i="2"/>
  <c r="M362" i="2"/>
  <c r="N362" i="2"/>
  <c r="M363" i="2"/>
  <c r="O363" i="2"/>
  <c r="N363" i="2"/>
  <c r="O365" i="2"/>
  <c r="N365" i="2"/>
  <c r="M365" i="2"/>
  <c r="O366" i="2"/>
  <c r="N366" i="2"/>
  <c r="M366" i="2"/>
  <c r="N443" i="2"/>
  <c r="M443" i="2"/>
  <c r="O443" i="2"/>
  <c r="N444" i="2"/>
  <c r="O444" i="2"/>
  <c r="M444" i="2"/>
  <c r="O445" i="2"/>
  <c r="N445" i="2"/>
  <c r="M445" i="2"/>
  <c r="O446" i="2"/>
  <c r="N446" i="2"/>
  <c r="M446" i="2"/>
  <c r="N504" i="2"/>
  <c r="O504" i="2"/>
  <c r="M504" i="2"/>
  <c r="O505" i="2"/>
  <c r="M505" i="2"/>
  <c r="N505" i="2"/>
  <c r="O506" i="2"/>
  <c r="N506" i="2"/>
  <c r="M506" i="2"/>
  <c r="M509" i="2"/>
  <c r="N509" i="2"/>
  <c r="O509" i="2"/>
  <c r="O511" i="2"/>
  <c r="M511" i="2"/>
  <c r="N511" i="2"/>
  <c r="M512" i="2"/>
  <c r="N512" i="2"/>
  <c r="O512" i="2"/>
  <c r="O513" i="2"/>
  <c r="N513" i="2"/>
  <c r="M513" i="2"/>
  <c r="F9" i="3" l="1"/>
  <c r="E28" i="6"/>
  <c r="C12" i="4"/>
  <c r="C13" i="4"/>
  <c r="F26" i="6" s="1"/>
  <c r="C21" i="4"/>
  <c r="C22" i="4"/>
  <c r="C49" i="5"/>
  <c r="C50" i="5"/>
  <c r="C51" i="5"/>
  <c r="C52" i="5"/>
  <c r="C53" i="5"/>
  <c r="C54" i="5"/>
  <c r="C55" i="5"/>
  <c r="C56" i="5"/>
  <c r="C57" i="5"/>
  <c r="D30" i="5"/>
  <c r="D31" i="5" s="1"/>
  <c r="D32" i="5" s="1"/>
  <c r="F30" i="5"/>
  <c r="F31" i="5" s="1"/>
  <c r="F32" i="5" s="1"/>
  <c r="C33" i="5"/>
  <c r="D33" i="5"/>
  <c r="E33" i="5"/>
  <c r="B33" i="5"/>
  <c r="B30" i="5"/>
  <c r="B31" i="5" s="1"/>
  <c r="B32" i="5" s="1"/>
  <c r="C30" i="5"/>
  <c r="C31" i="5" s="1"/>
  <c r="C32" i="5" s="1"/>
  <c r="E30" i="5"/>
  <c r="E31" i="5" s="1"/>
  <c r="E32" i="5" s="1"/>
  <c r="F33" i="5"/>
  <c r="G10" i="3"/>
  <c r="C29" i="6"/>
  <c r="G8" i="3"/>
  <c r="C27" i="6"/>
  <c r="D11" i="4"/>
  <c r="D14" i="4"/>
  <c r="D20" i="4"/>
  <c r="F11" i="3"/>
  <c r="G6" i="3"/>
  <c r="C25" i="6"/>
  <c r="B11" i="4"/>
  <c r="B14" i="4"/>
  <c r="B20" i="4"/>
  <c r="T9" i="2"/>
  <c r="R10" i="2"/>
  <c r="B85" i="5"/>
  <c r="D11" i="3"/>
  <c r="C11" i="3"/>
  <c r="A45" i="6" s="1"/>
  <c r="E11" i="3"/>
  <c r="H24" i="3"/>
  <c r="H23" i="3"/>
  <c r="G25" i="3" l="1"/>
  <c r="G9" i="3"/>
  <c r="C28" i="6"/>
  <c r="D36" i="5"/>
  <c r="D34" i="5"/>
  <c r="D35" i="5" s="1"/>
  <c r="F36" i="5"/>
  <c r="F34" i="5"/>
  <c r="F35" i="5" s="1"/>
  <c r="B36" i="5"/>
  <c r="B34" i="5"/>
  <c r="C36" i="5"/>
  <c r="C34" i="5"/>
  <c r="C35" i="5" s="1"/>
  <c r="E36" i="5"/>
  <c r="E34" i="5"/>
  <c r="E35" i="5" s="1"/>
  <c r="D12" i="4"/>
  <c r="D13" i="4"/>
  <c r="F27" i="6" s="1"/>
  <c r="D21" i="4"/>
  <c r="D22" i="4"/>
  <c r="B64" i="5"/>
  <c r="B40" i="5"/>
  <c r="C30" i="6"/>
  <c r="G11" i="3"/>
  <c r="B7" i="6" s="1"/>
  <c r="B12" i="4"/>
  <c r="B13" i="4"/>
  <c r="B21" i="4"/>
  <c r="B22" i="4"/>
  <c r="R11" i="2"/>
  <c r="T10" i="2"/>
  <c r="D30" i="6"/>
  <c r="H25" i="3"/>
  <c r="B65" i="5"/>
  <c r="B6" i="6"/>
  <c r="C15" i="6" s="1"/>
  <c r="D15" i="6" s="1"/>
  <c r="E30" i="6"/>
  <c r="B9" i="6"/>
  <c r="Q8" i="2"/>
  <c r="S7" i="2"/>
  <c r="G23" i="3"/>
  <c r="I23" i="3" s="1"/>
  <c r="G24" i="3"/>
  <c r="I24" i="3" s="1"/>
  <c r="A86" i="5"/>
  <c r="C85" i="5"/>
  <c r="D85" i="5"/>
  <c r="D57" i="5" l="1"/>
  <c r="D56" i="5"/>
  <c r="D55" i="5"/>
  <c r="D54" i="5"/>
  <c r="D53" i="5"/>
  <c r="D51" i="5"/>
  <c r="D50" i="5"/>
  <c r="D49" i="5"/>
  <c r="D52" i="5"/>
  <c r="G14" i="5"/>
  <c r="G15" i="5" s="1"/>
  <c r="B14" i="5"/>
  <c r="B15" i="5" s="1"/>
  <c r="F14" i="5"/>
  <c r="F15" i="5" s="1"/>
  <c r="E14" i="5"/>
  <c r="C14" i="5"/>
  <c r="C15" i="5" s="1"/>
  <c r="D14" i="5"/>
  <c r="D15" i="5" s="1"/>
  <c r="B42" i="5"/>
  <c r="B35" i="5"/>
  <c r="B43" i="5" s="1"/>
  <c r="B41" i="5"/>
  <c r="B5" i="6" s="1"/>
  <c r="B37" i="5"/>
  <c r="B38" i="5" s="1"/>
  <c r="C37" i="5"/>
  <c r="C38" i="5" s="1"/>
  <c r="D37" i="5"/>
  <c r="D38" i="5" s="1"/>
  <c r="E37" i="5"/>
  <c r="E38" i="5" s="1"/>
  <c r="F37" i="5"/>
  <c r="F38" i="5" s="1"/>
  <c r="A46" i="6"/>
  <c r="F25" i="6"/>
  <c r="T11" i="2"/>
  <c r="R12" i="2"/>
  <c r="Q9" i="2"/>
  <c r="S8" i="2"/>
  <c r="B86" i="5"/>
  <c r="D86" i="5" s="1"/>
  <c r="I25" i="3"/>
  <c r="B78" i="5"/>
  <c r="E15" i="5" l="1"/>
  <c r="A44" i="6"/>
  <c r="A44" i="5"/>
  <c r="B10" i="6"/>
  <c r="C14" i="6"/>
  <c r="D14" i="6" s="1"/>
  <c r="A47" i="6"/>
  <c r="R13" i="2"/>
  <c r="T12" i="2"/>
  <c r="S9" i="2"/>
  <c r="Q10" i="2"/>
  <c r="A87" i="5"/>
  <c r="C86" i="5"/>
  <c r="T13" i="2" l="1"/>
  <c r="R14" i="2"/>
  <c r="Q11" i="2"/>
  <c r="S10" i="2"/>
  <c r="B87" i="5"/>
  <c r="R15" i="2" l="1"/>
  <c r="T14" i="2"/>
  <c r="S11" i="2"/>
  <c r="Q12" i="2"/>
  <c r="A88" i="5"/>
  <c r="D87" i="5"/>
  <c r="C87" i="5"/>
  <c r="T15" i="2" l="1"/>
  <c r="R16" i="2"/>
  <c r="Q13" i="2"/>
  <c r="S12" i="2"/>
  <c r="B88" i="5"/>
  <c r="R17" i="2" l="1"/>
  <c r="T16" i="2"/>
  <c r="S13" i="2"/>
  <c r="Q14" i="2"/>
  <c r="A89" i="5"/>
  <c r="D88" i="5"/>
  <c r="C88" i="5"/>
  <c r="T17" i="2" l="1"/>
  <c r="R18" i="2"/>
  <c r="S14" i="2"/>
  <c r="Q15" i="2"/>
  <c r="B89" i="5"/>
  <c r="T18" i="2" l="1"/>
  <c r="R19" i="2"/>
  <c r="Q16" i="2"/>
  <c r="S15" i="2"/>
  <c r="A90" i="5"/>
  <c r="C89" i="5"/>
  <c r="D89" i="5"/>
  <c r="T19" i="2" l="1"/>
  <c r="R20" i="2"/>
  <c r="Q17" i="2"/>
  <c r="S16" i="2"/>
  <c r="B90" i="5"/>
  <c r="T20" i="2" l="1"/>
  <c r="R21" i="2"/>
  <c r="Q18" i="2"/>
  <c r="S17" i="2"/>
  <c r="A91" i="5"/>
  <c r="D90" i="5"/>
  <c r="C90" i="5"/>
  <c r="T21" i="2" l="1"/>
  <c r="R22" i="2"/>
  <c r="S18" i="2"/>
  <c r="Q19" i="2"/>
  <c r="B91" i="5"/>
  <c r="T22" i="2" l="1"/>
  <c r="R23" i="2"/>
  <c r="Q20" i="2"/>
  <c r="S19" i="2"/>
  <c r="A92" i="5"/>
  <c r="D91" i="5"/>
  <c r="C91" i="5"/>
  <c r="R24" i="2" l="1"/>
  <c r="T23" i="2"/>
  <c r="S20" i="2"/>
  <c r="Q21" i="2"/>
  <c r="B92" i="5"/>
  <c r="T24" i="2" l="1"/>
  <c r="R25" i="2"/>
  <c r="Q22" i="2"/>
  <c r="S21" i="2"/>
  <c r="A93" i="5"/>
  <c r="D92" i="5"/>
  <c r="C92" i="5"/>
  <c r="T25" i="2" l="1"/>
  <c r="R26" i="2"/>
  <c r="Q23" i="2"/>
  <c r="S22" i="2"/>
  <c r="B93" i="5"/>
  <c r="T26" i="2" l="1"/>
  <c r="R27" i="2"/>
  <c r="Q24" i="2"/>
  <c r="S23" i="2"/>
  <c r="D93" i="5"/>
  <c r="C93" i="5"/>
  <c r="T27" i="2" l="1"/>
  <c r="R28" i="2"/>
  <c r="S24" i="2"/>
  <c r="Q25" i="2"/>
  <c r="R29" i="2" l="1"/>
  <c r="T28" i="2"/>
  <c r="S25" i="2"/>
  <c r="Q26" i="2"/>
  <c r="R30" i="2" l="1"/>
  <c r="T29" i="2"/>
  <c r="Q27" i="2"/>
  <c r="S26" i="2"/>
  <c r="R31" i="2" l="1"/>
  <c r="T30" i="2"/>
  <c r="Q28" i="2"/>
  <c r="S27" i="2"/>
  <c r="T31" i="2" l="1"/>
  <c r="R32" i="2"/>
  <c r="Q29" i="2"/>
  <c r="S28" i="2"/>
  <c r="T32" i="2" l="1"/>
  <c r="R33" i="2"/>
  <c r="S29" i="2"/>
  <c r="Q30" i="2"/>
  <c r="R34" i="2" l="1"/>
  <c r="T33" i="2"/>
  <c r="S30" i="2"/>
  <c r="Q31" i="2"/>
  <c r="R35" i="2" l="1"/>
  <c r="T34" i="2"/>
  <c r="S31" i="2"/>
  <c r="Q32" i="2"/>
  <c r="R36" i="2" l="1"/>
  <c r="T35" i="2"/>
  <c r="Q33" i="2"/>
  <c r="S32" i="2"/>
  <c r="R37" i="2" l="1"/>
  <c r="T36" i="2"/>
  <c r="Q34" i="2"/>
  <c r="S33" i="2"/>
  <c r="T37" i="2" l="1"/>
  <c r="R38" i="2"/>
  <c r="S34" i="2"/>
  <c r="Q35" i="2"/>
  <c r="T38" i="2" l="1"/>
  <c r="R39" i="2"/>
  <c r="Q36" i="2"/>
  <c r="S35" i="2"/>
  <c r="R40" i="2" l="1"/>
  <c r="T39" i="2"/>
  <c r="S36" i="2"/>
  <c r="Q37" i="2"/>
  <c r="T40" i="2" l="1"/>
  <c r="R41" i="2"/>
  <c r="S37" i="2"/>
  <c r="Q38" i="2"/>
  <c r="T41" i="2" l="1"/>
  <c r="R42" i="2"/>
  <c r="Q39" i="2"/>
  <c r="S38" i="2"/>
  <c r="T42" i="2" l="1"/>
  <c r="R43" i="2"/>
  <c r="S39" i="2"/>
  <c r="Q40" i="2"/>
  <c r="T43" i="2" l="1"/>
  <c r="R44" i="2"/>
  <c r="S40" i="2"/>
  <c r="Q41" i="2"/>
  <c r="R45" i="2" l="1"/>
  <c r="T44" i="2"/>
  <c r="S41" i="2"/>
  <c r="Q42" i="2"/>
  <c r="R46" i="2" l="1"/>
  <c r="T45" i="2"/>
  <c r="Q43" i="2"/>
  <c r="S42" i="2"/>
  <c r="R47" i="2" l="1"/>
  <c r="T46" i="2"/>
  <c r="S43" i="2"/>
  <c r="Q44" i="2"/>
  <c r="T47" i="2" l="1"/>
  <c r="R48" i="2"/>
  <c r="Q45" i="2"/>
  <c r="S44" i="2"/>
  <c r="T48" i="2" l="1"/>
  <c r="R49" i="2"/>
  <c r="S45" i="2"/>
  <c r="Q46" i="2"/>
  <c r="T49" i="2" l="1"/>
  <c r="R50" i="2"/>
  <c r="Q47" i="2"/>
  <c r="S46" i="2"/>
  <c r="R51" i="2" l="1"/>
  <c r="T50" i="2"/>
  <c r="S47" i="2"/>
  <c r="Q48" i="2"/>
  <c r="R52" i="2" l="1"/>
  <c r="T51" i="2"/>
  <c r="Q49" i="2"/>
  <c r="S48" i="2"/>
  <c r="T52" i="2" l="1"/>
  <c r="R53" i="2"/>
  <c r="S49" i="2"/>
  <c r="Q50" i="2"/>
  <c r="T53" i="2" l="1"/>
  <c r="R54" i="2"/>
  <c r="S50" i="2"/>
  <c r="Q51" i="2"/>
  <c r="R55" i="2" l="1"/>
  <c r="T54" i="2"/>
  <c r="Q52" i="2"/>
  <c r="S51" i="2"/>
  <c r="R56" i="2" l="1"/>
  <c r="T55" i="2"/>
  <c r="S52" i="2"/>
  <c r="Q53" i="2"/>
  <c r="T56" i="2" l="1"/>
  <c r="R57" i="2"/>
  <c r="S53" i="2"/>
  <c r="Q54" i="2"/>
  <c r="T57" i="2" l="1"/>
  <c r="R58" i="2"/>
  <c r="Q55" i="2"/>
  <c r="S54" i="2"/>
  <c r="R59" i="2" l="1"/>
  <c r="T58" i="2"/>
  <c r="S55" i="2"/>
  <c r="Q56" i="2"/>
  <c r="R60" i="2" l="1"/>
  <c r="T59" i="2"/>
  <c r="S56" i="2"/>
  <c r="Q57" i="2"/>
  <c r="T60" i="2" l="1"/>
  <c r="R61" i="2"/>
  <c r="S57" i="2"/>
  <c r="Q58" i="2"/>
  <c r="R62" i="2" l="1"/>
  <c r="T61" i="2"/>
  <c r="Q59" i="2"/>
  <c r="S58" i="2"/>
  <c r="T62" i="2" l="1"/>
  <c r="R63" i="2"/>
  <c r="Q60" i="2"/>
  <c r="S59" i="2"/>
  <c r="R64" i="2" l="1"/>
  <c r="T63" i="2"/>
  <c r="S60" i="2"/>
  <c r="Q61" i="2"/>
  <c r="R65" i="2" l="1"/>
  <c r="T64" i="2"/>
  <c r="S61" i="2"/>
  <c r="Q62" i="2"/>
  <c r="R66" i="2" l="1"/>
  <c r="T65" i="2"/>
  <c r="Q63" i="2"/>
  <c r="S62" i="2"/>
  <c r="T66" i="2" l="1"/>
  <c r="R67" i="2"/>
  <c r="S63" i="2"/>
  <c r="Q64" i="2"/>
  <c r="R68" i="2" l="1"/>
  <c r="T67" i="2"/>
  <c r="Q65" i="2"/>
  <c r="S64" i="2"/>
  <c r="T68" i="2" l="1"/>
  <c r="R69" i="2"/>
  <c r="S65" i="2"/>
  <c r="Q66" i="2"/>
  <c r="R70" i="2" l="1"/>
  <c r="T69" i="2"/>
  <c r="S66" i="2"/>
  <c r="Q67" i="2"/>
  <c r="T70" i="2" l="1"/>
  <c r="R71" i="2"/>
  <c r="Q68" i="2"/>
  <c r="S67" i="2"/>
  <c r="T71" i="2" l="1"/>
  <c r="R72" i="2"/>
  <c r="Q69" i="2"/>
  <c r="S68" i="2"/>
  <c r="R73" i="2" l="1"/>
  <c r="T72" i="2"/>
  <c r="Q70" i="2"/>
  <c r="S69" i="2"/>
  <c r="R74" i="2" l="1"/>
  <c r="T73" i="2"/>
  <c r="S70" i="2"/>
  <c r="Q71" i="2"/>
  <c r="R75" i="2" l="1"/>
  <c r="T74" i="2"/>
  <c r="S71" i="2"/>
  <c r="Q72" i="2"/>
  <c r="T75" i="2" l="1"/>
  <c r="R76" i="2"/>
  <c r="S72" i="2"/>
  <c r="Q73" i="2"/>
  <c r="T76" i="2" l="1"/>
  <c r="R77" i="2"/>
  <c r="S73" i="2"/>
  <c r="Q74" i="2"/>
  <c r="T77" i="2" l="1"/>
  <c r="R78" i="2"/>
  <c r="S74" i="2"/>
  <c r="Q75" i="2"/>
  <c r="T78" i="2" l="1"/>
  <c r="R79" i="2"/>
  <c r="S75" i="2"/>
  <c r="Q76" i="2"/>
  <c r="T79" i="2" l="1"/>
  <c r="R80" i="2"/>
  <c r="Q77" i="2"/>
  <c r="S76" i="2"/>
  <c r="R81" i="2" l="1"/>
  <c r="T80" i="2"/>
  <c r="Q78" i="2"/>
  <c r="S77" i="2"/>
  <c r="T81" i="2" l="1"/>
  <c r="R82" i="2"/>
  <c r="S78" i="2"/>
  <c r="Q79" i="2"/>
  <c r="R83" i="2" l="1"/>
  <c r="T82" i="2"/>
  <c r="S79" i="2"/>
  <c r="Q80" i="2"/>
  <c r="R84" i="2" l="1"/>
  <c r="T83" i="2"/>
  <c r="Q81" i="2"/>
  <c r="S80" i="2"/>
  <c r="T84" i="2" l="1"/>
  <c r="R85" i="2"/>
  <c r="S81" i="2"/>
  <c r="Q82" i="2"/>
  <c r="R86" i="2" l="1"/>
  <c r="T85" i="2"/>
  <c r="Q83" i="2"/>
  <c r="S82" i="2"/>
  <c r="R87" i="2" l="1"/>
  <c r="T86" i="2"/>
  <c r="S83" i="2"/>
  <c r="Q84" i="2"/>
  <c r="R88" i="2" l="1"/>
  <c r="T87" i="2"/>
  <c r="Q85" i="2"/>
  <c r="S84" i="2"/>
  <c r="R89" i="2" l="1"/>
  <c r="T88" i="2"/>
  <c r="S85" i="2"/>
  <c r="Q86" i="2"/>
  <c r="R90" i="2" l="1"/>
  <c r="T89" i="2"/>
  <c r="S86" i="2"/>
  <c r="Q87" i="2"/>
  <c r="T90" i="2" l="1"/>
  <c r="R91" i="2"/>
  <c r="Q88" i="2"/>
  <c r="S87" i="2"/>
  <c r="T91" i="2" l="1"/>
  <c r="R92" i="2"/>
  <c r="Q89" i="2"/>
  <c r="S88" i="2"/>
  <c r="R93" i="2" l="1"/>
  <c r="T92" i="2"/>
  <c r="Q90" i="2"/>
  <c r="S89" i="2"/>
  <c r="R94" i="2" l="1"/>
  <c r="T93" i="2"/>
  <c r="S90" i="2"/>
  <c r="Q91" i="2"/>
  <c r="R95" i="2" l="1"/>
  <c r="T94" i="2"/>
  <c r="S91" i="2"/>
  <c r="Q92" i="2"/>
  <c r="R96" i="2" l="1"/>
  <c r="T95" i="2"/>
  <c r="Q93" i="2"/>
  <c r="S92" i="2"/>
  <c r="T96" i="2" l="1"/>
  <c r="R97" i="2"/>
  <c r="S93" i="2"/>
  <c r="Q94" i="2"/>
  <c r="T97" i="2" l="1"/>
  <c r="R98" i="2"/>
  <c r="S94" i="2"/>
  <c r="Q95" i="2"/>
  <c r="T98" i="2" l="1"/>
  <c r="R99" i="2"/>
  <c r="S95" i="2"/>
  <c r="Q96" i="2"/>
  <c r="R100" i="2" l="1"/>
  <c r="T99" i="2"/>
  <c r="S96" i="2"/>
  <c r="Q97" i="2"/>
  <c r="T100" i="2" l="1"/>
  <c r="R101" i="2"/>
  <c r="Q98" i="2"/>
  <c r="S97" i="2"/>
  <c r="T101" i="2" l="1"/>
  <c r="R102" i="2"/>
  <c r="S98" i="2"/>
  <c r="Q99" i="2"/>
  <c r="R103" i="2" l="1"/>
  <c r="T102" i="2"/>
  <c r="Q100" i="2"/>
  <c r="S99" i="2"/>
  <c r="T103" i="2" l="1"/>
  <c r="R104" i="2"/>
  <c r="Q101" i="2"/>
  <c r="S100" i="2"/>
  <c r="R105" i="2" l="1"/>
  <c r="T104" i="2"/>
  <c r="S101" i="2"/>
  <c r="Q102" i="2"/>
  <c r="R106" i="2" l="1"/>
  <c r="T105" i="2"/>
  <c r="Q103" i="2"/>
  <c r="S102" i="2"/>
  <c r="T106" i="2" l="1"/>
  <c r="R107" i="2"/>
  <c r="S103" i="2"/>
  <c r="Q104" i="2"/>
  <c r="R108" i="2" l="1"/>
  <c r="T107" i="2"/>
  <c r="Q105" i="2"/>
  <c r="S104" i="2"/>
  <c r="T108" i="2" l="1"/>
  <c r="R109" i="2"/>
  <c r="S105" i="2"/>
  <c r="Q106" i="2"/>
  <c r="R110" i="2" l="1"/>
  <c r="T109" i="2"/>
  <c r="Q107" i="2"/>
  <c r="S106" i="2"/>
  <c r="R111" i="2" l="1"/>
  <c r="T110" i="2"/>
  <c r="S107" i="2"/>
  <c r="Q108" i="2"/>
  <c r="R112" i="2" l="1"/>
  <c r="T111" i="2"/>
  <c r="Q109" i="2"/>
  <c r="S108" i="2"/>
  <c r="T112" i="2" l="1"/>
  <c r="R113" i="2"/>
  <c r="Q110" i="2"/>
  <c r="S109" i="2"/>
  <c r="R114" i="2" l="1"/>
  <c r="T113" i="2"/>
  <c r="S110" i="2"/>
  <c r="Q111" i="2"/>
  <c r="T114" i="2" l="1"/>
  <c r="R115" i="2"/>
  <c r="Q112" i="2"/>
  <c r="S111" i="2"/>
  <c r="T115" i="2" l="1"/>
  <c r="R116" i="2"/>
  <c r="Q113" i="2"/>
  <c r="S112" i="2"/>
  <c r="T116" i="2" l="1"/>
  <c r="R117" i="2"/>
  <c r="Q114" i="2"/>
  <c r="S113" i="2"/>
  <c r="T117" i="2" l="1"/>
  <c r="R118" i="2"/>
  <c r="S114" i="2"/>
  <c r="Q115" i="2"/>
  <c r="T118" i="2" l="1"/>
  <c r="R119" i="2"/>
  <c r="S115" i="2"/>
  <c r="Q116" i="2"/>
  <c r="T119" i="2" l="1"/>
  <c r="R120" i="2"/>
  <c r="S116" i="2"/>
  <c r="Q117" i="2"/>
  <c r="T120" i="2" l="1"/>
  <c r="R121" i="2"/>
  <c r="S117" i="2"/>
  <c r="Q118" i="2"/>
  <c r="T121" i="2" l="1"/>
  <c r="R122" i="2"/>
  <c r="S118" i="2"/>
  <c r="Q119" i="2"/>
  <c r="T122" i="2" l="1"/>
  <c r="R123" i="2"/>
  <c r="S119" i="2"/>
  <c r="Q120" i="2"/>
  <c r="T123" i="2" l="1"/>
  <c r="R124" i="2"/>
  <c r="S120" i="2"/>
  <c r="Q121" i="2"/>
  <c r="T124" i="2" l="1"/>
  <c r="R125" i="2"/>
  <c r="S121" i="2"/>
  <c r="Q122" i="2"/>
  <c r="T125" i="2" l="1"/>
  <c r="R126" i="2"/>
  <c r="S122" i="2"/>
  <c r="Q123" i="2"/>
  <c r="T126" i="2" l="1"/>
  <c r="R127" i="2"/>
  <c r="Q124" i="2"/>
  <c r="S123" i="2"/>
  <c r="T127" i="2" l="1"/>
  <c r="R128" i="2"/>
  <c r="Q125" i="2"/>
  <c r="S124" i="2"/>
  <c r="R129" i="2" l="1"/>
  <c r="T128" i="2"/>
  <c r="Q126" i="2"/>
  <c r="S125" i="2"/>
  <c r="T129" i="2" l="1"/>
  <c r="R130" i="2"/>
  <c r="S126" i="2"/>
  <c r="Q127" i="2"/>
  <c r="R131" i="2" l="1"/>
  <c r="T130" i="2"/>
  <c r="S127" i="2"/>
  <c r="Q128" i="2"/>
  <c r="R132" i="2" l="1"/>
  <c r="T131" i="2"/>
  <c r="S128" i="2"/>
  <c r="Q129" i="2"/>
  <c r="R133" i="2" l="1"/>
  <c r="T132" i="2"/>
  <c r="S129" i="2"/>
  <c r="Q130" i="2"/>
  <c r="T133" i="2" l="1"/>
  <c r="R134" i="2"/>
  <c r="S130" i="2"/>
  <c r="Q131" i="2"/>
  <c r="T134" i="2" l="1"/>
  <c r="R135" i="2"/>
  <c r="S131" i="2"/>
  <c r="Q132" i="2"/>
  <c r="T135" i="2" l="1"/>
  <c r="R136" i="2"/>
  <c r="Q133" i="2"/>
  <c r="S132" i="2"/>
  <c r="T136" i="2" l="1"/>
  <c r="R137" i="2"/>
  <c r="S133" i="2"/>
  <c r="Q134" i="2"/>
  <c r="T137" i="2" l="1"/>
  <c r="R138" i="2"/>
  <c r="Q135" i="2"/>
  <c r="S134" i="2"/>
  <c r="R139" i="2" l="1"/>
  <c r="T138" i="2"/>
  <c r="S135" i="2"/>
  <c r="Q136" i="2"/>
  <c r="T139" i="2" l="1"/>
  <c r="R140" i="2"/>
  <c r="S136" i="2"/>
  <c r="Q137" i="2"/>
  <c r="R141" i="2" l="1"/>
  <c r="T140" i="2"/>
  <c r="Q138" i="2"/>
  <c r="S137" i="2"/>
  <c r="T141" i="2" l="1"/>
  <c r="R142" i="2"/>
  <c r="Q139" i="2"/>
  <c r="S138" i="2"/>
  <c r="T142" i="2" l="1"/>
  <c r="R143" i="2"/>
  <c r="S139" i="2"/>
  <c r="Q140" i="2"/>
  <c r="T143" i="2" l="1"/>
  <c r="R144" i="2"/>
  <c r="Q141" i="2"/>
  <c r="S140" i="2"/>
  <c r="R145" i="2" l="1"/>
  <c r="T144" i="2"/>
  <c r="S141" i="2"/>
  <c r="Q142" i="2"/>
  <c r="T145" i="2" l="1"/>
  <c r="R146" i="2"/>
  <c r="S142" i="2"/>
  <c r="Q143" i="2"/>
  <c r="R147" i="2" l="1"/>
  <c r="T146" i="2"/>
  <c r="Q144" i="2"/>
  <c r="S143" i="2"/>
  <c r="T147" i="2" l="1"/>
  <c r="R148" i="2"/>
  <c r="S144" i="2"/>
  <c r="Q145" i="2"/>
  <c r="T148" i="2" l="1"/>
  <c r="R149" i="2"/>
  <c r="S145" i="2"/>
  <c r="Q146" i="2"/>
  <c r="T149" i="2" l="1"/>
  <c r="R150" i="2"/>
  <c r="S146" i="2"/>
  <c r="Q147" i="2"/>
  <c r="T150" i="2" l="1"/>
  <c r="R151" i="2"/>
  <c r="S147" i="2"/>
  <c r="Q148" i="2"/>
  <c r="T151" i="2" l="1"/>
  <c r="R152" i="2"/>
  <c r="Q149" i="2"/>
  <c r="S148" i="2"/>
  <c r="T152" i="2" l="1"/>
  <c r="R153" i="2"/>
  <c r="S149" i="2"/>
  <c r="Q150" i="2"/>
  <c r="T153" i="2" l="1"/>
  <c r="R154" i="2"/>
  <c r="S150" i="2"/>
  <c r="Q151" i="2"/>
  <c r="R155" i="2" l="1"/>
  <c r="T154" i="2"/>
  <c r="S151" i="2"/>
  <c r="Q152" i="2"/>
  <c r="R156" i="2" l="1"/>
  <c r="T155" i="2"/>
  <c r="Q153" i="2"/>
  <c r="S152" i="2"/>
  <c r="T156" i="2" l="1"/>
  <c r="R157" i="2"/>
  <c r="S153" i="2"/>
  <c r="Q154" i="2"/>
  <c r="T157" i="2" l="1"/>
  <c r="R158" i="2"/>
  <c r="S154" i="2"/>
  <c r="Q155" i="2"/>
  <c r="T158" i="2" l="1"/>
  <c r="R159" i="2"/>
  <c r="S155" i="2"/>
  <c r="Q156" i="2"/>
  <c r="T159" i="2" l="1"/>
  <c r="R160" i="2"/>
  <c r="Q157" i="2"/>
  <c r="S156" i="2"/>
  <c r="T160" i="2" l="1"/>
  <c r="R161" i="2"/>
  <c r="Q158" i="2"/>
  <c r="S157" i="2"/>
  <c r="T161" i="2" l="1"/>
  <c r="R162" i="2"/>
  <c r="S158" i="2"/>
  <c r="Q159" i="2"/>
  <c r="T162" i="2" l="1"/>
  <c r="R163" i="2"/>
  <c r="S159" i="2"/>
  <c r="Q160" i="2"/>
  <c r="T163" i="2" l="1"/>
  <c r="R164" i="2"/>
  <c r="S160" i="2"/>
  <c r="Q161" i="2"/>
  <c r="T164" i="2" l="1"/>
  <c r="R165" i="2"/>
  <c r="S161" i="2"/>
  <c r="Q162" i="2"/>
  <c r="T165" i="2" l="1"/>
  <c r="R166" i="2"/>
  <c r="S162" i="2"/>
  <c r="Q163" i="2"/>
  <c r="T166" i="2" l="1"/>
  <c r="R167" i="2"/>
  <c r="S163" i="2"/>
  <c r="Q164" i="2"/>
  <c r="T167" i="2" l="1"/>
  <c r="R168" i="2"/>
  <c r="S164" i="2"/>
  <c r="Q165" i="2"/>
  <c r="T168" i="2" l="1"/>
  <c r="R169" i="2"/>
  <c r="S165" i="2"/>
  <c r="Q166" i="2"/>
  <c r="T169" i="2" l="1"/>
  <c r="R170" i="2"/>
  <c r="S166" i="2"/>
  <c r="Q167" i="2"/>
  <c r="T170" i="2" l="1"/>
  <c r="R171" i="2"/>
  <c r="S167" i="2"/>
  <c r="Q168" i="2"/>
  <c r="T171" i="2" l="1"/>
  <c r="R172" i="2"/>
  <c r="S168" i="2"/>
  <c r="Q169" i="2"/>
  <c r="T172" i="2" l="1"/>
  <c r="R173" i="2"/>
  <c r="S169" i="2"/>
  <c r="Q170" i="2"/>
  <c r="T173" i="2" l="1"/>
  <c r="R174" i="2"/>
  <c r="S170" i="2"/>
  <c r="Q171" i="2"/>
  <c r="T174" i="2" l="1"/>
  <c r="R175" i="2"/>
  <c r="S171" i="2"/>
  <c r="Q172" i="2"/>
  <c r="T175" i="2" l="1"/>
  <c r="R176" i="2"/>
  <c r="S172" i="2"/>
  <c r="Q173" i="2"/>
  <c r="T176" i="2" l="1"/>
  <c r="R177" i="2"/>
  <c r="S173" i="2"/>
  <c r="Q174" i="2"/>
  <c r="T177" i="2" l="1"/>
  <c r="R178" i="2"/>
  <c r="S174" i="2"/>
  <c r="Q175" i="2"/>
  <c r="T178" i="2" l="1"/>
  <c r="R179" i="2"/>
  <c r="S175" i="2"/>
  <c r="Q176" i="2"/>
  <c r="T179" i="2" l="1"/>
  <c r="R180" i="2"/>
  <c r="S176" i="2"/>
  <c r="Q177" i="2"/>
  <c r="T180" i="2" l="1"/>
  <c r="R181" i="2"/>
  <c r="S177" i="2"/>
  <c r="Q178" i="2"/>
  <c r="T181" i="2" l="1"/>
  <c r="R182" i="2"/>
  <c r="S178" i="2"/>
  <c r="Q179" i="2"/>
  <c r="T182" i="2" l="1"/>
  <c r="R183" i="2"/>
  <c r="S179" i="2"/>
  <c r="Q180" i="2"/>
  <c r="T183" i="2" l="1"/>
  <c r="R184" i="2"/>
  <c r="S180" i="2"/>
  <c r="Q181" i="2"/>
  <c r="T184" i="2" l="1"/>
  <c r="R185" i="2"/>
  <c r="S181" i="2"/>
  <c r="Q182" i="2"/>
  <c r="T185" i="2" l="1"/>
  <c r="R186" i="2"/>
  <c r="S182" i="2"/>
  <c r="Q183" i="2"/>
  <c r="T186" i="2" l="1"/>
  <c r="R187" i="2"/>
  <c r="S183" i="2"/>
  <c r="Q184" i="2"/>
  <c r="T187" i="2" l="1"/>
  <c r="R188" i="2"/>
  <c r="S184" i="2"/>
  <c r="Q185" i="2"/>
  <c r="T188" i="2" l="1"/>
  <c r="R189" i="2"/>
  <c r="S185" i="2"/>
  <c r="Q186" i="2"/>
  <c r="T189" i="2" l="1"/>
  <c r="R190" i="2"/>
  <c r="S186" i="2"/>
  <c r="Q187" i="2"/>
  <c r="T190" i="2" l="1"/>
  <c r="R191" i="2"/>
  <c r="S187" i="2"/>
  <c r="Q188" i="2"/>
  <c r="T191" i="2" l="1"/>
  <c r="R192" i="2"/>
  <c r="S188" i="2"/>
  <c r="Q189" i="2"/>
  <c r="T192" i="2" l="1"/>
  <c r="R193" i="2"/>
  <c r="S189" i="2"/>
  <c r="Q190" i="2"/>
  <c r="T193" i="2" l="1"/>
  <c r="R194" i="2"/>
  <c r="S190" i="2"/>
  <c r="Q191" i="2"/>
  <c r="T194" i="2" l="1"/>
  <c r="R195" i="2"/>
  <c r="S191" i="2"/>
  <c r="Q192" i="2"/>
  <c r="T195" i="2" l="1"/>
  <c r="R196" i="2"/>
  <c r="S192" i="2"/>
  <c r="Q193" i="2"/>
  <c r="T196" i="2" l="1"/>
  <c r="R197" i="2"/>
  <c r="S193" i="2"/>
  <c r="Q194" i="2"/>
  <c r="T197" i="2" l="1"/>
  <c r="R198" i="2"/>
  <c r="S194" i="2"/>
  <c r="Q195" i="2"/>
  <c r="T198" i="2" l="1"/>
  <c r="R199" i="2"/>
  <c r="S195" i="2"/>
  <c r="Q196" i="2"/>
  <c r="T199" i="2" l="1"/>
  <c r="R200" i="2"/>
  <c r="S196" i="2"/>
  <c r="Q197" i="2"/>
  <c r="T200" i="2" l="1"/>
  <c r="R201" i="2"/>
  <c r="S197" i="2"/>
  <c r="Q198" i="2"/>
  <c r="T201" i="2" l="1"/>
  <c r="R202" i="2"/>
  <c r="S198" i="2"/>
  <c r="Q199" i="2"/>
  <c r="T202" i="2" l="1"/>
  <c r="R203" i="2"/>
  <c r="S199" i="2"/>
  <c r="Q200" i="2"/>
  <c r="T203" i="2" l="1"/>
  <c r="R204" i="2"/>
  <c r="S200" i="2"/>
  <c r="Q201" i="2"/>
  <c r="T204" i="2" l="1"/>
  <c r="R205" i="2"/>
  <c r="S201" i="2"/>
  <c r="Q202" i="2"/>
  <c r="T205" i="2" l="1"/>
  <c r="R206" i="2"/>
  <c r="S202" i="2"/>
  <c r="Q203" i="2"/>
  <c r="T206" i="2" l="1"/>
  <c r="R207" i="2"/>
  <c r="S203" i="2"/>
  <c r="Q204" i="2"/>
  <c r="T207" i="2" l="1"/>
  <c r="R208" i="2"/>
  <c r="S204" i="2"/>
  <c r="Q205" i="2"/>
  <c r="T208" i="2" l="1"/>
  <c r="R209" i="2"/>
  <c r="S205" i="2"/>
  <c r="Q206" i="2"/>
  <c r="T209" i="2" l="1"/>
  <c r="R210" i="2"/>
  <c r="S206" i="2"/>
  <c r="Q207" i="2"/>
  <c r="T210" i="2" l="1"/>
  <c r="R211" i="2"/>
  <c r="S207" i="2"/>
  <c r="Q208" i="2"/>
  <c r="T211" i="2" l="1"/>
  <c r="R212" i="2"/>
  <c r="S208" i="2"/>
  <c r="Q209" i="2"/>
  <c r="T212" i="2" l="1"/>
  <c r="R213" i="2"/>
  <c r="S209" i="2"/>
  <c r="Q210" i="2"/>
  <c r="T213" i="2" l="1"/>
  <c r="R214" i="2"/>
  <c r="S210" i="2"/>
  <c r="Q211" i="2"/>
  <c r="T214" i="2" l="1"/>
  <c r="R215" i="2"/>
  <c r="S211" i="2"/>
  <c r="Q212" i="2"/>
  <c r="T215" i="2" l="1"/>
  <c r="R216" i="2"/>
  <c r="S212" i="2"/>
  <c r="Q213" i="2"/>
  <c r="T216" i="2" l="1"/>
  <c r="R217" i="2"/>
  <c r="S213" i="2"/>
  <c r="Q214" i="2"/>
  <c r="T217" i="2" l="1"/>
  <c r="R218" i="2"/>
  <c r="S214" i="2"/>
  <c r="Q215" i="2"/>
  <c r="T218" i="2" l="1"/>
  <c r="R219" i="2"/>
  <c r="S215" i="2"/>
  <c r="Q216" i="2"/>
  <c r="T219" i="2" l="1"/>
  <c r="R220" i="2"/>
  <c r="S216" i="2"/>
  <c r="Q217" i="2"/>
  <c r="T220" i="2" l="1"/>
  <c r="R221" i="2"/>
  <c r="S217" i="2"/>
  <c r="Q218" i="2"/>
  <c r="R222" i="2" l="1"/>
  <c r="T221" i="2"/>
  <c r="S218" i="2"/>
  <c r="Q219" i="2"/>
  <c r="R223" i="2" l="1"/>
  <c r="T222" i="2"/>
  <c r="S219" i="2"/>
  <c r="Q220" i="2"/>
  <c r="R224" i="2" l="1"/>
  <c r="T223" i="2"/>
  <c r="Q221" i="2"/>
  <c r="S220" i="2"/>
  <c r="T224" i="2" l="1"/>
  <c r="R225" i="2"/>
  <c r="Q222" i="2"/>
  <c r="S221" i="2"/>
  <c r="T225" i="2" l="1"/>
  <c r="R226" i="2"/>
  <c r="S222" i="2"/>
  <c r="Q223" i="2"/>
  <c r="T226" i="2" l="1"/>
  <c r="R227" i="2"/>
  <c r="S223" i="2"/>
  <c r="Q224" i="2"/>
  <c r="T227" i="2" l="1"/>
  <c r="R228" i="2"/>
  <c r="S224" i="2"/>
  <c r="Q225" i="2"/>
  <c r="R229" i="2" l="1"/>
  <c r="T228" i="2"/>
  <c r="Q226" i="2"/>
  <c r="S225" i="2"/>
  <c r="T229" i="2" l="1"/>
  <c r="R230" i="2"/>
  <c r="Q227" i="2"/>
  <c r="S226" i="2"/>
  <c r="T230" i="2" l="1"/>
  <c r="R231" i="2"/>
  <c r="Q228" i="2"/>
  <c r="S227" i="2"/>
  <c r="R232" i="2" l="1"/>
  <c r="T231" i="2"/>
  <c r="S228" i="2"/>
  <c r="Q229" i="2"/>
  <c r="T232" i="2" l="1"/>
  <c r="R233" i="2"/>
  <c r="S229" i="2"/>
  <c r="Q230" i="2"/>
  <c r="T233" i="2" l="1"/>
  <c r="R234" i="2"/>
  <c r="S230" i="2"/>
  <c r="Q231" i="2"/>
  <c r="T234" i="2" l="1"/>
  <c r="R235" i="2"/>
  <c r="S231" i="2"/>
  <c r="Q232" i="2"/>
  <c r="T235" i="2" l="1"/>
  <c r="R236" i="2"/>
  <c r="S232" i="2"/>
  <c r="Q233" i="2"/>
  <c r="T236" i="2" l="1"/>
  <c r="R237" i="2"/>
  <c r="S233" i="2"/>
  <c r="Q234" i="2"/>
  <c r="T237" i="2" l="1"/>
  <c r="R238" i="2"/>
  <c r="S234" i="2"/>
  <c r="Q235" i="2"/>
  <c r="T238" i="2" l="1"/>
  <c r="R239" i="2"/>
  <c r="S235" i="2"/>
  <c r="Q236" i="2"/>
  <c r="T239" i="2" l="1"/>
  <c r="R240" i="2"/>
  <c r="S236" i="2"/>
  <c r="Q237" i="2"/>
  <c r="T240" i="2" l="1"/>
  <c r="R241" i="2"/>
  <c r="S237" i="2"/>
  <c r="Q238" i="2"/>
  <c r="T241" i="2" l="1"/>
  <c r="R242" i="2"/>
  <c r="S238" i="2"/>
  <c r="Q239" i="2"/>
  <c r="T242" i="2" l="1"/>
  <c r="R243" i="2"/>
  <c r="S239" i="2"/>
  <c r="Q240" i="2"/>
  <c r="T243" i="2" l="1"/>
  <c r="R244" i="2"/>
  <c r="S240" i="2"/>
  <c r="Q241" i="2"/>
  <c r="T244" i="2" l="1"/>
  <c r="R245" i="2"/>
  <c r="S241" i="2"/>
  <c r="Q242" i="2"/>
  <c r="T245" i="2" l="1"/>
  <c r="R246" i="2"/>
  <c r="S242" i="2"/>
  <c r="Q243" i="2"/>
  <c r="T246" i="2" l="1"/>
  <c r="R247" i="2"/>
  <c r="S243" i="2"/>
  <c r="Q244" i="2"/>
  <c r="T247" i="2" l="1"/>
  <c r="R248" i="2"/>
  <c r="S244" i="2"/>
  <c r="Q245" i="2"/>
  <c r="T248" i="2" l="1"/>
  <c r="R249" i="2"/>
  <c r="S245" i="2"/>
  <c r="Q246" i="2"/>
  <c r="T249" i="2" l="1"/>
  <c r="R250" i="2"/>
  <c r="S246" i="2"/>
  <c r="Q247" i="2"/>
  <c r="T250" i="2" l="1"/>
  <c r="R251" i="2"/>
  <c r="S247" i="2"/>
  <c r="Q248" i="2"/>
  <c r="T251" i="2" l="1"/>
  <c r="R252" i="2"/>
  <c r="S248" i="2"/>
  <c r="Q249" i="2"/>
  <c r="T252" i="2" l="1"/>
  <c r="R253" i="2"/>
  <c r="S249" i="2"/>
  <c r="Q250" i="2"/>
  <c r="T253" i="2" l="1"/>
  <c r="R254" i="2"/>
  <c r="S250" i="2"/>
  <c r="Q251" i="2"/>
  <c r="T254" i="2" l="1"/>
  <c r="R255" i="2"/>
  <c r="S251" i="2"/>
  <c r="Q252" i="2"/>
  <c r="T255" i="2" l="1"/>
  <c r="R256" i="2"/>
  <c r="S252" i="2"/>
  <c r="Q253" i="2"/>
  <c r="T256" i="2" l="1"/>
  <c r="R257" i="2"/>
  <c r="S253" i="2"/>
  <c r="Q254" i="2"/>
  <c r="T257" i="2" l="1"/>
  <c r="R258" i="2"/>
  <c r="S254" i="2"/>
  <c r="Q255" i="2"/>
  <c r="T258" i="2" l="1"/>
  <c r="R259" i="2"/>
  <c r="S255" i="2"/>
  <c r="Q256" i="2"/>
  <c r="T259" i="2" l="1"/>
  <c r="R260" i="2"/>
  <c r="S256" i="2"/>
  <c r="Q257" i="2"/>
  <c r="T260" i="2" l="1"/>
  <c r="R261" i="2"/>
  <c r="S257" i="2"/>
  <c r="Q258" i="2"/>
  <c r="T261" i="2" l="1"/>
  <c r="R262" i="2"/>
  <c r="S258" i="2"/>
  <c r="Q259" i="2"/>
  <c r="T262" i="2" l="1"/>
  <c r="R263" i="2"/>
  <c r="S259" i="2"/>
  <c r="Q260" i="2"/>
  <c r="T263" i="2" l="1"/>
  <c r="R264" i="2"/>
  <c r="S260" i="2"/>
  <c r="Q261" i="2"/>
  <c r="T264" i="2" l="1"/>
  <c r="R265" i="2"/>
  <c r="S261" i="2"/>
  <c r="Q262" i="2"/>
  <c r="T265" i="2" l="1"/>
  <c r="R266" i="2"/>
  <c r="S262" i="2"/>
  <c r="Q263" i="2"/>
  <c r="T266" i="2" l="1"/>
  <c r="R267" i="2"/>
  <c r="S263" i="2"/>
  <c r="Q264" i="2"/>
  <c r="T267" i="2" l="1"/>
  <c r="R268" i="2"/>
  <c r="S264" i="2"/>
  <c r="Q265" i="2"/>
  <c r="T268" i="2" l="1"/>
  <c r="R269" i="2"/>
  <c r="S265" i="2"/>
  <c r="Q266" i="2"/>
  <c r="T269" i="2" l="1"/>
  <c r="R270" i="2"/>
  <c r="S266" i="2"/>
  <c r="Q267" i="2"/>
  <c r="T270" i="2" l="1"/>
  <c r="R271" i="2"/>
  <c r="S267" i="2"/>
  <c r="Q268" i="2"/>
  <c r="T271" i="2" l="1"/>
  <c r="R272" i="2"/>
  <c r="S268" i="2"/>
  <c r="Q269" i="2"/>
  <c r="T272" i="2" l="1"/>
  <c r="R273" i="2"/>
  <c r="S269" i="2"/>
  <c r="Q270" i="2"/>
  <c r="T273" i="2" l="1"/>
  <c r="R274" i="2"/>
  <c r="S270" i="2"/>
  <c r="Q271" i="2"/>
  <c r="T274" i="2" l="1"/>
  <c r="R275" i="2"/>
  <c r="S271" i="2"/>
  <c r="Q272" i="2"/>
  <c r="T275" i="2" l="1"/>
  <c r="R276" i="2"/>
  <c r="S272" i="2"/>
  <c r="Q273" i="2"/>
  <c r="T276" i="2" l="1"/>
  <c r="R277" i="2"/>
  <c r="S273" i="2"/>
  <c r="Q274" i="2"/>
  <c r="T277" i="2" l="1"/>
  <c r="R278" i="2"/>
  <c r="S274" i="2"/>
  <c r="Q275" i="2"/>
  <c r="R279" i="2" l="1"/>
  <c r="T278" i="2"/>
  <c r="S275" i="2"/>
  <c r="Q276" i="2"/>
  <c r="T279" i="2" l="1"/>
  <c r="R280" i="2"/>
  <c r="Q277" i="2"/>
  <c r="S276" i="2"/>
  <c r="R281" i="2" l="1"/>
  <c r="T280" i="2"/>
  <c r="S277" i="2"/>
  <c r="Q278" i="2"/>
  <c r="R282" i="2" l="1"/>
  <c r="T281" i="2"/>
  <c r="S278" i="2"/>
  <c r="Q279" i="2"/>
  <c r="R283" i="2" l="1"/>
  <c r="T282" i="2"/>
  <c r="S279" i="2"/>
  <c r="Q280" i="2"/>
  <c r="T283" i="2" l="1"/>
  <c r="R284" i="2"/>
  <c r="S280" i="2"/>
  <c r="Q281" i="2"/>
  <c r="R285" i="2" l="1"/>
  <c r="T284" i="2"/>
  <c r="S281" i="2"/>
  <c r="Q282" i="2"/>
  <c r="R286" i="2" l="1"/>
  <c r="T285" i="2"/>
  <c r="S282" i="2"/>
  <c r="Q283" i="2"/>
  <c r="T286" i="2" l="1"/>
  <c r="R287" i="2"/>
  <c r="Q284" i="2"/>
  <c r="S283" i="2"/>
  <c r="T287" i="2" l="1"/>
  <c r="R288" i="2"/>
  <c r="Q285" i="2"/>
  <c r="S284" i="2"/>
  <c r="T288" i="2" l="1"/>
  <c r="R289" i="2"/>
  <c r="Q286" i="2"/>
  <c r="S285" i="2"/>
  <c r="T289" i="2" l="1"/>
  <c r="R290" i="2"/>
  <c r="Q287" i="2"/>
  <c r="S286" i="2"/>
  <c r="T290" i="2" l="1"/>
  <c r="R291" i="2"/>
  <c r="S287" i="2"/>
  <c r="Q288" i="2"/>
  <c r="T291" i="2" l="1"/>
  <c r="R292" i="2"/>
  <c r="S288" i="2"/>
  <c r="Q289" i="2"/>
  <c r="T292" i="2" l="1"/>
  <c r="R293" i="2"/>
  <c r="S289" i="2"/>
  <c r="Q290" i="2"/>
  <c r="T293" i="2" l="1"/>
  <c r="R294" i="2"/>
  <c r="S290" i="2"/>
  <c r="Q291" i="2"/>
  <c r="T294" i="2" l="1"/>
  <c r="R295" i="2"/>
  <c r="S291" i="2"/>
  <c r="Q292" i="2"/>
  <c r="T295" i="2" l="1"/>
  <c r="R296" i="2"/>
  <c r="S292" i="2"/>
  <c r="Q293" i="2"/>
  <c r="T296" i="2" l="1"/>
  <c r="R297" i="2"/>
  <c r="S293" i="2"/>
  <c r="Q294" i="2"/>
  <c r="T297" i="2" l="1"/>
  <c r="R298" i="2"/>
  <c r="S294" i="2"/>
  <c r="Q295" i="2"/>
  <c r="T298" i="2" l="1"/>
  <c r="R299" i="2"/>
  <c r="S295" i="2"/>
  <c r="Q296" i="2"/>
  <c r="T299" i="2" l="1"/>
  <c r="R300" i="2"/>
  <c r="S296" i="2"/>
  <c r="Q297" i="2"/>
  <c r="T300" i="2" l="1"/>
  <c r="R301" i="2"/>
  <c r="S297" i="2"/>
  <c r="Q298" i="2"/>
  <c r="T301" i="2" l="1"/>
  <c r="R302" i="2"/>
  <c r="S298" i="2"/>
  <c r="Q299" i="2"/>
  <c r="T302" i="2" l="1"/>
  <c r="R303" i="2"/>
  <c r="S299" i="2"/>
  <c r="Q300" i="2"/>
  <c r="T303" i="2" l="1"/>
  <c r="R304" i="2"/>
  <c r="S300" i="2"/>
  <c r="Q301" i="2"/>
  <c r="T304" i="2" l="1"/>
  <c r="R305" i="2"/>
  <c r="S301" i="2"/>
  <c r="Q302" i="2"/>
  <c r="T305" i="2" l="1"/>
  <c r="R306" i="2"/>
  <c r="S302" i="2"/>
  <c r="Q303" i="2"/>
  <c r="T306" i="2" l="1"/>
  <c r="R307" i="2"/>
  <c r="S303" i="2"/>
  <c r="Q304" i="2"/>
  <c r="T307" i="2" l="1"/>
  <c r="R308" i="2"/>
  <c r="S304" i="2"/>
  <c r="Q305" i="2"/>
  <c r="T308" i="2" l="1"/>
  <c r="R309" i="2"/>
  <c r="S305" i="2"/>
  <c r="Q306" i="2"/>
  <c r="T309" i="2" l="1"/>
  <c r="R310" i="2"/>
  <c r="S306" i="2"/>
  <c r="Q307" i="2"/>
  <c r="T310" i="2" l="1"/>
  <c r="R311" i="2"/>
  <c r="S307" i="2"/>
  <c r="Q308" i="2"/>
  <c r="T311" i="2" l="1"/>
  <c r="R312" i="2"/>
  <c r="S308" i="2"/>
  <c r="Q309" i="2"/>
  <c r="T312" i="2" l="1"/>
  <c r="R313" i="2"/>
  <c r="S309" i="2"/>
  <c r="Q310" i="2"/>
  <c r="T313" i="2" l="1"/>
  <c r="R314" i="2"/>
  <c r="S310" i="2"/>
  <c r="Q311" i="2"/>
  <c r="T314" i="2" l="1"/>
  <c r="R315" i="2"/>
  <c r="S311" i="2"/>
  <c r="Q312" i="2"/>
  <c r="T315" i="2" l="1"/>
  <c r="R316" i="2"/>
  <c r="S312" i="2"/>
  <c r="Q313" i="2"/>
  <c r="T316" i="2" l="1"/>
  <c r="R317" i="2"/>
  <c r="S313" i="2"/>
  <c r="Q314" i="2"/>
  <c r="T317" i="2" l="1"/>
  <c r="R318" i="2"/>
  <c r="S314" i="2"/>
  <c r="Q315" i="2"/>
  <c r="T318" i="2" l="1"/>
  <c r="R319" i="2"/>
  <c r="S315" i="2"/>
  <c r="Q316" i="2"/>
  <c r="T319" i="2" l="1"/>
  <c r="R320" i="2"/>
  <c r="S316" i="2"/>
  <c r="Q317" i="2"/>
  <c r="T320" i="2" l="1"/>
  <c r="R321" i="2"/>
  <c r="S317" i="2"/>
  <c r="Q318" i="2"/>
  <c r="T321" i="2" l="1"/>
  <c r="R322" i="2"/>
  <c r="S318" i="2"/>
  <c r="Q319" i="2"/>
  <c r="T322" i="2" l="1"/>
  <c r="R323" i="2"/>
  <c r="S319" i="2"/>
  <c r="Q320" i="2"/>
  <c r="T323" i="2" l="1"/>
  <c r="R324" i="2"/>
  <c r="S320" i="2"/>
  <c r="Q321" i="2"/>
  <c r="T324" i="2" l="1"/>
  <c r="R325" i="2"/>
  <c r="S321" i="2"/>
  <c r="Q322" i="2"/>
  <c r="T325" i="2" l="1"/>
  <c r="R326" i="2"/>
  <c r="S322" i="2"/>
  <c r="Q323" i="2"/>
  <c r="T326" i="2" l="1"/>
  <c r="R327" i="2"/>
  <c r="S323" i="2"/>
  <c r="Q324" i="2"/>
  <c r="T327" i="2" l="1"/>
  <c r="R328" i="2"/>
  <c r="S324" i="2"/>
  <c r="Q325" i="2"/>
  <c r="T328" i="2" l="1"/>
  <c r="R329" i="2"/>
  <c r="S325" i="2"/>
  <c r="Q326" i="2"/>
  <c r="T329" i="2" l="1"/>
  <c r="R330" i="2"/>
  <c r="S326" i="2"/>
  <c r="Q327" i="2"/>
  <c r="T330" i="2" l="1"/>
  <c r="R331" i="2"/>
  <c r="S327" i="2"/>
  <c r="Q328" i="2"/>
  <c r="T331" i="2" l="1"/>
  <c r="R332" i="2"/>
  <c r="S328" i="2"/>
  <c r="Q329" i="2"/>
  <c r="T332" i="2" l="1"/>
  <c r="R333" i="2"/>
  <c r="S329" i="2"/>
  <c r="Q330" i="2"/>
  <c r="R334" i="2" l="1"/>
  <c r="T333" i="2"/>
  <c r="S330" i="2"/>
  <c r="Q331" i="2"/>
  <c r="T334" i="2" l="1"/>
  <c r="R335" i="2"/>
  <c r="Q332" i="2"/>
  <c r="S331" i="2"/>
  <c r="T335" i="2" l="1"/>
  <c r="R336" i="2"/>
  <c r="Q333" i="2"/>
  <c r="S332" i="2"/>
  <c r="T336" i="2" l="1"/>
  <c r="R337" i="2"/>
  <c r="S333" i="2"/>
  <c r="Q334" i="2"/>
  <c r="T337" i="2" l="1"/>
  <c r="R338" i="2"/>
  <c r="S334" i="2"/>
  <c r="Q335" i="2"/>
  <c r="T338" i="2" l="1"/>
  <c r="R339" i="2"/>
  <c r="S335" i="2"/>
  <c r="Q336" i="2"/>
  <c r="T339" i="2" l="1"/>
  <c r="R340" i="2"/>
  <c r="S336" i="2"/>
  <c r="Q337" i="2"/>
  <c r="T340" i="2" l="1"/>
  <c r="R341" i="2"/>
  <c r="S337" i="2"/>
  <c r="Q338" i="2"/>
  <c r="T341" i="2" l="1"/>
  <c r="R342" i="2"/>
  <c r="S338" i="2"/>
  <c r="Q339" i="2"/>
  <c r="R343" i="2" l="1"/>
  <c r="T342" i="2"/>
  <c r="S339" i="2"/>
  <c r="Q340" i="2"/>
  <c r="T343" i="2" l="1"/>
  <c r="R344" i="2"/>
  <c r="Q341" i="2"/>
  <c r="S340" i="2"/>
  <c r="T344" i="2" l="1"/>
  <c r="R345" i="2"/>
  <c r="Q342" i="2"/>
  <c r="S341" i="2"/>
  <c r="T345" i="2" l="1"/>
  <c r="R346" i="2"/>
  <c r="S342" i="2"/>
  <c r="Q343" i="2"/>
  <c r="R347" i="2" l="1"/>
  <c r="T346" i="2"/>
  <c r="S343" i="2"/>
  <c r="Q344" i="2"/>
  <c r="T347" i="2" l="1"/>
  <c r="R348" i="2"/>
  <c r="Q345" i="2"/>
  <c r="S344" i="2"/>
  <c r="T348" i="2" l="1"/>
  <c r="R349" i="2"/>
  <c r="S345" i="2"/>
  <c r="Q346" i="2"/>
  <c r="T349" i="2" l="1"/>
  <c r="R350" i="2"/>
  <c r="Q347" i="2"/>
  <c r="S346" i="2"/>
  <c r="T350" i="2" l="1"/>
  <c r="R351" i="2"/>
  <c r="S347" i="2"/>
  <c r="Q348" i="2"/>
  <c r="R352" i="2" l="1"/>
  <c r="T351" i="2"/>
  <c r="S348" i="2"/>
  <c r="Q349" i="2"/>
  <c r="T352" i="2" l="1"/>
  <c r="R353" i="2"/>
  <c r="S349" i="2"/>
  <c r="Q350" i="2"/>
  <c r="T353" i="2" l="1"/>
  <c r="R354" i="2"/>
  <c r="Q351" i="2"/>
  <c r="S350" i="2"/>
  <c r="R355" i="2" l="1"/>
  <c r="T354" i="2"/>
  <c r="S351" i="2"/>
  <c r="Q352" i="2"/>
  <c r="T355" i="2" l="1"/>
  <c r="R356" i="2"/>
  <c r="Q353" i="2"/>
  <c r="S352" i="2"/>
  <c r="R357" i="2" l="1"/>
  <c r="T356" i="2"/>
  <c r="Q354" i="2"/>
  <c r="S353" i="2"/>
  <c r="R358" i="2" l="1"/>
  <c r="T357" i="2"/>
  <c r="S354" i="2"/>
  <c r="Q355" i="2"/>
  <c r="T358" i="2" l="1"/>
  <c r="R359" i="2"/>
  <c r="S355" i="2"/>
  <c r="Q356" i="2"/>
  <c r="T359" i="2" l="1"/>
  <c r="R360" i="2"/>
  <c r="S356" i="2"/>
  <c r="Q357" i="2"/>
  <c r="T360" i="2" l="1"/>
  <c r="R361" i="2"/>
  <c r="S357" i="2"/>
  <c r="Q358" i="2"/>
  <c r="T361" i="2" l="1"/>
  <c r="R362" i="2"/>
  <c r="Q359" i="2"/>
  <c r="S358" i="2"/>
  <c r="T362" i="2" l="1"/>
  <c r="R363" i="2"/>
  <c r="S359" i="2"/>
  <c r="Q360" i="2"/>
  <c r="T363" i="2" l="1"/>
  <c r="R364" i="2"/>
  <c r="S360" i="2"/>
  <c r="Q361" i="2"/>
  <c r="T364" i="2" l="1"/>
  <c r="R365" i="2"/>
  <c r="S361" i="2"/>
  <c r="Q362" i="2"/>
  <c r="R366" i="2" l="1"/>
  <c r="T365" i="2"/>
  <c r="S362" i="2"/>
  <c r="Q363" i="2"/>
  <c r="T366" i="2" l="1"/>
  <c r="R367" i="2"/>
  <c r="S363" i="2"/>
  <c r="Q364" i="2"/>
  <c r="T367" i="2" l="1"/>
  <c r="R368" i="2"/>
  <c r="S364" i="2"/>
  <c r="Q365" i="2"/>
  <c r="T368" i="2" l="1"/>
  <c r="R369" i="2"/>
  <c r="Q366" i="2"/>
  <c r="S365" i="2"/>
  <c r="T369" i="2" l="1"/>
  <c r="R370" i="2"/>
  <c r="S366" i="2"/>
  <c r="Q367" i="2"/>
  <c r="T370" i="2" l="1"/>
  <c r="R371" i="2"/>
  <c r="S367" i="2"/>
  <c r="Q368" i="2"/>
  <c r="T371" i="2" l="1"/>
  <c r="R372" i="2"/>
  <c r="S368" i="2"/>
  <c r="Q369" i="2"/>
  <c r="T372" i="2" l="1"/>
  <c r="R373" i="2"/>
  <c r="S369" i="2"/>
  <c r="Q370" i="2"/>
  <c r="T373" i="2" l="1"/>
  <c r="R374" i="2"/>
  <c r="S370" i="2"/>
  <c r="Q371" i="2"/>
  <c r="T374" i="2" l="1"/>
  <c r="R375" i="2"/>
  <c r="S371" i="2"/>
  <c r="Q372" i="2"/>
  <c r="T375" i="2" l="1"/>
  <c r="R376" i="2"/>
  <c r="S372" i="2"/>
  <c r="Q373" i="2"/>
  <c r="T376" i="2" l="1"/>
  <c r="R377" i="2"/>
  <c r="S373" i="2"/>
  <c r="Q374" i="2"/>
  <c r="T377" i="2" l="1"/>
  <c r="R378" i="2"/>
  <c r="S374" i="2"/>
  <c r="Q375" i="2"/>
  <c r="T378" i="2" l="1"/>
  <c r="R379" i="2"/>
  <c r="S375" i="2"/>
  <c r="Q376" i="2"/>
  <c r="T379" i="2" l="1"/>
  <c r="R380" i="2"/>
  <c r="S376" i="2"/>
  <c r="Q377" i="2"/>
  <c r="T380" i="2" l="1"/>
  <c r="R381" i="2"/>
  <c r="S377" i="2"/>
  <c r="Q378" i="2"/>
  <c r="T381" i="2" l="1"/>
  <c r="R382" i="2"/>
  <c r="S378" i="2"/>
  <c r="Q379" i="2"/>
  <c r="T382" i="2" l="1"/>
  <c r="R383" i="2"/>
  <c r="S379" i="2"/>
  <c r="Q380" i="2"/>
  <c r="T383" i="2" l="1"/>
  <c r="R384" i="2"/>
  <c r="S380" i="2"/>
  <c r="Q381" i="2"/>
  <c r="T384" i="2" l="1"/>
  <c r="R385" i="2"/>
  <c r="S381" i="2"/>
  <c r="Q382" i="2"/>
  <c r="T385" i="2" l="1"/>
  <c r="R386" i="2"/>
  <c r="S382" i="2"/>
  <c r="Q383" i="2"/>
  <c r="T386" i="2" l="1"/>
  <c r="R387" i="2"/>
  <c r="S383" i="2"/>
  <c r="Q384" i="2"/>
  <c r="T387" i="2" l="1"/>
  <c r="R388" i="2"/>
  <c r="S384" i="2"/>
  <c r="Q385" i="2"/>
  <c r="T388" i="2" l="1"/>
  <c r="R389" i="2"/>
  <c r="S385" i="2"/>
  <c r="Q386" i="2"/>
  <c r="T389" i="2" l="1"/>
  <c r="R390" i="2"/>
  <c r="S386" i="2"/>
  <c r="Q387" i="2"/>
  <c r="T390" i="2" l="1"/>
  <c r="R391" i="2"/>
  <c r="S387" i="2"/>
  <c r="Q388" i="2"/>
  <c r="T391" i="2" l="1"/>
  <c r="R392" i="2"/>
  <c r="S388" i="2"/>
  <c r="Q389" i="2"/>
  <c r="T392" i="2" l="1"/>
  <c r="R393" i="2"/>
  <c r="S389" i="2"/>
  <c r="Q390" i="2"/>
  <c r="T393" i="2" l="1"/>
  <c r="R394" i="2"/>
  <c r="S390" i="2"/>
  <c r="Q391" i="2"/>
  <c r="T394" i="2" l="1"/>
  <c r="R395" i="2"/>
  <c r="S391" i="2"/>
  <c r="Q392" i="2"/>
  <c r="T395" i="2" l="1"/>
  <c r="R396" i="2"/>
  <c r="S392" i="2"/>
  <c r="Q393" i="2"/>
  <c r="T396" i="2" l="1"/>
  <c r="R397" i="2"/>
  <c r="S393" i="2"/>
  <c r="Q394" i="2"/>
  <c r="T397" i="2" l="1"/>
  <c r="R398" i="2"/>
  <c r="S394" i="2"/>
  <c r="Q395" i="2"/>
  <c r="T398" i="2" l="1"/>
  <c r="R399" i="2"/>
  <c r="S395" i="2"/>
  <c r="Q396" i="2"/>
  <c r="T399" i="2" l="1"/>
  <c r="R400" i="2"/>
  <c r="S396" i="2"/>
  <c r="Q397" i="2"/>
  <c r="T400" i="2" l="1"/>
  <c r="R401" i="2"/>
  <c r="S397" i="2"/>
  <c r="Q398" i="2"/>
  <c r="T401" i="2" l="1"/>
  <c r="R402" i="2"/>
  <c r="S398" i="2"/>
  <c r="Q399" i="2"/>
  <c r="T402" i="2" l="1"/>
  <c r="R403" i="2"/>
  <c r="S399" i="2"/>
  <c r="Q400" i="2"/>
  <c r="T403" i="2" l="1"/>
  <c r="R404" i="2"/>
  <c r="S400" i="2"/>
  <c r="Q401" i="2"/>
  <c r="T404" i="2" l="1"/>
  <c r="R405" i="2"/>
  <c r="S401" i="2"/>
  <c r="Q402" i="2"/>
  <c r="T405" i="2" l="1"/>
  <c r="R406" i="2"/>
  <c r="S402" i="2"/>
  <c r="Q403" i="2"/>
  <c r="T406" i="2" l="1"/>
  <c r="R407" i="2"/>
  <c r="S403" i="2"/>
  <c r="Q404" i="2"/>
  <c r="T407" i="2" l="1"/>
  <c r="R408" i="2"/>
  <c r="S404" i="2"/>
  <c r="Q405" i="2"/>
  <c r="T408" i="2" l="1"/>
  <c r="R409" i="2"/>
  <c r="S405" i="2"/>
  <c r="Q406" i="2"/>
  <c r="T409" i="2" l="1"/>
  <c r="R410" i="2"/>
  <c r="S406" i="2"/>
  <c r="Q407" i="2"/>
  <c r="T410" i="2" l="1"/>
  <c r="R411" i="2"/>
  <c r="S407" i="2"/>
  <c r="Q408" i="2"/>
  <c r="T411" i="2" l="1"/>
  <c r="R412" i="2"/>
  <c r="S408" i="2"/>
  <c r="Q409" i="2"/>
  <c r="T412" i="2" l="1"/>
  <c r="R413" i="2"/>
  <c r="S409" i="2"/>
  <c r="Q410" i="2"/>
  <c r="T413" i="2" l="1"/>
  <c r="R414" i="2"/>
  <c r="S410" i="2"/>
  <c r="Q411" i="2"/>
  <c r="T414" i="2" l="1"/>
  <c r="R415" i="2"/>
  <c r="S411" i="2"/>
  <c r="Q412" i="2"/>
  <c r="T415" i="2" l="1"/>
  <c r="R416" i="2"/>
  <c r="S412" i="2"/>
  <c r="Q413" i="2"/>
  <c r="T416" i="2" l="1"/>
  <c r="R417" i="2"/>
  <c r="S413" i="2"/>
  <c r="Q414" i="2"/>
  <c r="T417" i="2" l="1"/>
  <c r="R418" i="2"/>
  <c r="S414" i="2"/>
  <c r="Q415" i="2"/>
  <c r="T418" i="2" l="1"/>
  <c r="R419" i="2"/>
  <c r="S415" i="2"/>
  <c r="Q416" i="2"/>
  <c r="T419" i="2" l="1"/>
  <c r="R420" i="2"/>
  <c r="S416" i="2"/>
  <c r="Q417" i="2"/>
  <c r="T420" i="2" l="1"/>
  <c r="R421" i="2"/>
  <c r="S417" i="2"/>
  <c r="Q418" i="2"/>
  <c r="T421" i="2" l="1"/>
  <c r="R422" i="2"/>
  <c r="S418" i="2"/>
  <c r="Q419" i="2"/>
  <c r="T422" i="2" l="1"/>
  <c r="R423" i="2"/>
  <c r="S419" i="2"/>
  <c r="Q420" i="2"/>
  <c r="T423" i="2" l="1"/>
  <c r="R424" i="2"/>
  <c r="S420" i="2"/>
  <c r="Q421" i="2"/>
  <c r="T424" i="2" l="1"/>
  <c r="R425" i="2"/>
  <c r="S421" i="2"/>
  <c r="Q422" i="2"/>
  <c r="T425" i="2" l="1"/>
  <c r="R426" i="2"/>
  <c r="S422" i="2"/>
  <c r="Q423" i="2"/>
  <c r="T426" i="2" l="1"/>
  <c r="R427" i="2"/>
  <c r="S423" i="2"/>
  <c r="Q424" i="2"/>
  <c r="T427" i="2" l="1"/>
  <c r="R428" i="2"/>
  <c r="S424" i="2"/>
  <c r="Q425" i="2"/>
  <c r="T428" i="2" l="1"/>
  <c r="R429" i="2"/>
  <c r="S425" i="2"/>
  <c r="Q426" i="2"/>
  <c r="T429" i="2" l="1"/>
  <c r="R430" i="2"/>
  <c r="S426" i="2"/>
  <c r="Q427" i="2"/>
  <c r="T430" i="2" l="1"/>
  <c r="R431" i="2"/>
  <c r="S427" i="2"/>
  <c r="Q428" i="2"/>
  <c r="T431" i="2" l="1"/>
  <c r="R432" i="2"/>
  <c r="S428" i="2"/>
  <c r="Q429" i="2"/>
  <c r="T432" i="2" l="1"/>
  <c r="R433" i="2"/>
  <c r="S429" i="2"/>
  <c r="Q430" i="2"/>
  <c r="T433" i="2" l="1"/>
  <c r="R434" i="2"/>
  <c r="S430" i="2"/>
  <c r="Q431" i="2"/>
  <c r="T434" i="2" l="1"/>
  <c r="R435" i="2"/>
  <c r="S431" i="2"/>
  <c r="Q432" i="2"/>
  <c r="T435" i="2" l="1"/>
  <c r="R436" i="2"/>
  <c r="S432" i="2"/>
  <c r="Q433" i="2"/>
  <c r="T436" i="2" l="1"/>
  <c r="R437" i="2"/>
  <c r="S433" i="2"/>
  <c r="Q434" i="2"/>
  <c r="T437" i="2" l="1"/>
  <c r="R438" i="2"/>
  <c r="S434" i="2"/>
  <c r="Q435" i="2"/>
  <c r="T438" i="2" l="1"/>
  <c r="R439" i="2"/>
  <c r="S435" i="2"/>
  <c r="Q436" i="2"/>
  <c r="T439" i="2" l="1"/>
  <c r="R440" i="2"/>
  <c r="S436" i="2"/>
  <c r="Q437" i="2"/>
  <c r="T440" i="2" l="1"/>
  <c r="R441" i="2"/>
  <c r="S437" i="2"/>
  <c r="Q438" i="2"/>
  <c r="T441" i="2" l="1"/>
  <c r="R442" i="2"/>
  <c r="S438" i="2"/>
  <c r="Q439" i="2"/>
  <c r="T442" i="2" l="1"/>
  <c r="R443" i="2"/>
  <c r="S439" i="2"/>
  <c r="Q440" i="2"/>
  <c r="T443" i="2" l="1"/>
  <c r="R444" i="2"/>
  <c r="S440" i="2"/>
  <c r="Q441" i="2"/>
  <c r="T444" i="2" l="1"/>
  <c r="R445" i="2"/>
  <c r="S441" i="2"/>
  <c r="Q442" i="2"/>
  <c r="T445" i="2" l="1"/>
  <c r="R446" i="2"/>
  <c r="S442" i="2"/>
  <c r="Q443" i="2"/>
  <c r="T446" i="2" l="1"/>
  <c r="R447" i="2"/>
  <c r="S443" i="2"/>
  <c r="Q444" i="2"/>
  <c r="T447" i="2" l="1"/>
  <c r="R448" i="2"/>
  <c r="S444" i="2"/>
  <c r="Q445" i="2"/>
  <c r="T448" i="2" l="1"/>
  <c r="R449" i="2"/>
  <c r="S445" i="2"/>
  <c r="Q446" i="2"/>
  <c r="T449" i="2" l="1"/>
  <c r="R450" i="2"/>
  <c r="S446" i="2"/>
  <c r="Q447" i="2"/>
  <c r="T450" i="2" l="1"/>
  <c r="R451" i="2"/>
  <c r="S447" i="2"/>
  <c r="Q448" i="2"/>
  <c r="T451" i="2" l="1"/>
  <c r="R452" i="2"/>
  <c r="S448" i="2"/>
  <c r="Q449" i="2"/>
  <c r="T452" i="2" l="1"/>
  <c r="R453" i="2"/>
  <c r="S449" i="2"/>
  <c r="Q450" i="2"/>
  <c r="T453" i="2" l="1"/>
  <c r="R454" i="2"/>
  <c r="S450" i="2"/>
  <c r="Q451" i="2"/>
  <c r="T454" i="2" l="1"/>
  <c r="R455" i="2"/>
  <c r="S451" i="2"/>
  <c r="Q452" i="2"/>
  <c r="T455" i="2" l="1"/>
  <c r="R456" i="2"/>
  <c r="S452" i="2"/>
  <c r="Q453" i="2"/>
  <c r="T456" i="2" l="1"/>
  <c r="R457" i="2"/>
  <c r="S453" i="2"/>
  <c r="Q454" i="2"/>
  <c r="T457" i="2" l="1"/>
  <c r="R458" i="2"/>
  <c r="S454" i="2"/>
  <c r="Q455" i="2"/>
  <c r="T458" i="2" l="1"/>
  <c r="R459" i="2"/>
  <c r="S455" i="2"/>
  <c r="Q456" i="2"/>
  <c r="T459" i="2" l="1"/>
  <c r="R460" i="2"/>
  <c r="S456" i="2"/>
  <c r="Q457" i="2"/>
  <c r="T460" i="2" l="1"/>
  <c r="R461" i="2"/>
  <c r="S457" i="2"/>
  <c r="Q458" i="2"/>
  <c r="T461" i="2" l="1"/>
  <c r="R462" i="2"/>
  <c r="S458" i="2"/>
  <c r="Q459" i="2"/>
  <c r="T462" i="2" l="1"/>
  <c r="R463" i="2"/>
  <c r="S459" i="2"/>
  <c r="Q460" i="2"/>
  <c r="T463" i="2" l="1"/>
  <c r="R464" i="2"/>
  <c r="S460" i="2"/>
  <c r="Q461" i="2"/>
  <c r="T464" i="2" l="1"/>
  <c r="R465" i="2"/>
  <c r="S461" i="2"/>
  <c r="Q462" i="2"/>
  <c r="T465" i="2" l="1"/>
  <c r="R466" i="2"/>
  <c r="S462" i="2"/>
  <c r="Q463" i="2"/>
  <c r="T466" i="2" l="1"/>
  <c r="R467" i="2"/>
  <c r="S463" i="2"/>
  <c r="Q464" i="2"/>
  <c r="T467" i="2" l="1"/>
  <c r="R468" i="2"/>
  <c r="S464" i="2"/>
  <c r="Q465" i="2"/>
  <c r="T468" i="2" l="1"/>
  <c r="R469" i="2"/>
  <c r="S465" i="2"/>
  <c r="Q466" i="2"/>
  <c r="T469" i="2" l="1"/>
  <c r="R470" i="2"/>
  <c r="S466" i="2"/>
  <c r="Q467" i="2"/>
  <c r="T470" i="2" l="1"/>
  <c r="R471" i="2"/>
  <c r="S467" i="2"/>
  <c r="Q468" i="2"/>
  <c r="T471" i="2" l="1"/>
  <c r="R472" i="2"/>
  <c r="S468" i="2"/>
  <c r="Q469" i="2"/>
  <c r="T472" i="2" l="1"/>
  <c r="R473" i="2"/>
  <c r="S469" i="2"/>
  <c r="Q470" i="2"/>
  <c r="T473" i="2" l="1"/>
  <c r="R474" i="2"/>
  <c r="S470" i="2"/>
  <c r="Q471" i="2"/>
  <c r="T474" i="2" l="1"/>
  <c r="R475" i="2"/>
  <c r="S471" i="2"/>
  <c r="Q472" i="2"/>
  <c r="T475" i="2" l="1"/>
  <c r="R476" i="2"/>
  <c r="S472" i="2"/>
  <c r="Q473" i="2"/>
  <c r="T476" i="2" l="1"/>
  <c r="R477" i="2"/>
  <c r="S473" i="2"/>
  <c r="Q474" i="2"/>
  <c r="T477" i="2" l="1"/>
  <c r="R478" i="2"/>
  <c r="S474" i="2"/>
  <c r="Q475" i="2"/>
  <c r="T478" i="2" l="1"/>
  <c r="R479" i="2"/>
  <c r="S475" i="2"/>
  <c r="Q476" i="2"/>
  <c r="T479" i="2" l="1"/>
  <c r="R480" i="2"/>
  <c r="S476" i="2"/>
  <c r="Q477" i="2"/>
  <c r="T480" i="2" l="1"/>
  <c r="R481" i="2"/>
  <c r="S477" i="2"/>
  <c r="Q478" i="2"/>
  <c r="T481" i="2" l="1"/>
  <c r="R482" i="2"/>
  <c r="S478" i="2"/>
  <c r="Q479" i="2"/>
  <c r="T482" i="2" l="1"/>
  <c r="R483" i="2"/>
  <c r="S479" i="2"/>
  <c r="Q480" i="2"/>
  <c r="T483" i="2" l="1"/>
  <c r="R484" i="2"/>
  <c r="S480" i="2"/>
  <c r="Q481" i="2"/>
  <c r="T484" i="2" l="1"/>
  <c r="R485" i="2"/>
  <c r="S481" i="2"/>
  <c r="Q482" i="2"/>
  <c r="T485" i="2" l="1"/>
  <c r="R486" i="2"/>
  <c r="S482" i="2"/>
  <c r="Q483" i="2"/>
  <c r="T486" i="2" l="1"/>
  <c r="R487" i="2"/>
  <c r="S483" i="2"/>
  <c r="Q484" i="2"/>
  <c r="T487" i="2" l="1"/>
  <c r="R488" i="2"/>
  <c r="S484" i="2"/>
  <c r="Q485" i="2"/>
  <c r="T488" i="2" l="1"/>
  <c r="R489" i="2"/>
  <c r="S485" i="2"/>
  <c r="Q486" i="2"/>
  <c r="T489" i="2" l="1"/>
  <c r="R490" i="2"/>
  <c r="S486" i="2"/>
  <c r="Q487" i="2"/>
  <c r="T490" i="2" l="1"/>
  <c r="R491" i="2"/>
  <c r="S487" i="2"/>
  <c r="Q488" i="2"/>
  <c r="T491" i="2" l="1"/>
  <c r="R492" i="2"/>
  <c r="S488" i="2"/>
  <c r="Q489" i="2"/>
  <c r="T492" i="2" l="1"/>
  <c r="R493" i="2"/>
  <c r="S489" i="2"/>
  <c r="Q490" i="2"/>
  <c r="T493" i="2" l="1"/>
  <c r="R494" i="2"/>
  <c r="S490" i="2"/>
  <c r="Q491" i="2"/>
  <c r="T494" i="2" l="1"/>
  <c r="R495" i="2"/>
  <c r="S491" i="2"/>
  <c r="Q492" i="2"/>
  <c r="T495" i="2" l="1"/>
  <c r="R496" i="2"/>
  <c r="S492" i="2"/>
  <c r="Q493" i="2"/>
  <c r="T496" i="2" l="1"/>
  <c r="R497" i="2"/>
  <c r="S493" i="2"/>
  <c r="Q494" i="2"/>
  <c r="T497" i="2" l="1"/>
  <c r="R498" i="2"/>
  <c r="S494" i="2"/>
  <c r="Q495" i="2"/>
  <c r="T498" i="2" l="1"/>
  <c r="R499" i="2"/>
  <c r="S495" i="2"/>
  <c r="Q496" i="2"/>
  <c r="T499" i="2" l="1"/>
  <c r="R500" i="2"/>
  <c r="S496" i="2"/>
  <c r="Q497" i="2"/>
  <c r="T500" i="2" l="1"/>
  <c r="R501" i="2"/>
  <c r="S497" i="2"/>
  <c r="Q498" i="2"/>
  <c r="T501" i="2" l="1"/>
  <c r="R502" i="2"/>
  <c r="Q499" i="2"/>
  <c r="S498" i="2"/>
  <c r="T502" i="2" l="1"/>
  <c r="R503" i="2"/>
  <c r="Q500" i="2"/>
  <c r="S499" i="2"/>
  <c r="R504" i="2" l="1"/>
  <c r="T503" i="2"/>
  <c r="Q501" i="2"/>
  <c r="S500" i="2"/>
  <c r="T504" i="2" l="1"/>
  <c r="R505" i="2"/>
  <c r="S501" i="2"/>
  <c r="Q502" i="2"/>
  <c r="T505" i="2" l="1"/>
  <c r="R506" i="2"/>
  <c r="S502" i="2"/>
  <c r="Q503" i="2"/>
  <c r="T506" i="2" l="1"/>
  <c r="R507" i="2"/>
  <c r="S503" i="2"/>
  <c r="Q504" i="2"/>
  <c r="T507" i="2" l="1"/>
  <c r="R508" i="2"/>
  <c r="S504" i="2"/>
  <c r="Q505" i="2"/>
  <c r="T508" i="2" l="1"/>
  <c r="R509" i="2"/>
  <c r="Q506" i="2"/>
  <c r="S505" i="2"/>
  <c r="T509" i="2" l="1"/>
  <c r="R510" i="2"/>
  <c r="S506" i="2"/>
  <c r="Q507" i="2"/>
  <c r="T510" i="2" l="1"/>
  <c r="R511" i="2"/>
  <c r="Q508" i="2"/>
  <c r="S507" i="2"/>
  <c r="R512" i="2" l="1"/>
  <c r="T511" i="2"/>
  <c r="S508" i="2"/>
  <c r="Q509" i="2"/>
  <c r="T512" i="2" l="1"/>
  <c r="R513" i="2"/>
  <c r="S509" i="2"/>
  <c r="Q510" i="2"/>
  <c r="T513" i="2" l="1"/>
  <c r="R514" i="2"/>
  <c r="S510" i="2"/>
  <c r="Q511" i="2"/>
  <c r="T514" i="2" l="1"/>
  <c r="R515" i="2"/>
  <c r="S511" i="2"/>
  <c r="Q512" i="2"/>
  <c r="T515" i="2" l="1"/>
  <c r="R516" i="2"/>
  <c r="S512" i="2"/>
  <c r="Q513" i="2"/>
  <c r="T516" i="2" l="1"/>
  <c r="R517" i="2"/>
  <c r="S513" i="2"/>
  <c r="Q514" i="2"/>
  <c r="T517" i="2" l="1"/>
  <c r="R518" i="2"/>
  <c r="S514" i="2"/>
  <c r="Q515" i="2"/>
  <c r="T518" i="2" l="1"/>
  <c r="R519" i="2"/>
  <c r="S515" i="2"/>
  <c r="Q516" i="2"/>
  <c r="T519" i="2" l="1"/>
  <c r="R520" i="2"/>
  <c r="S516" i="2"/>
  <c r="Q517" i="2"/>
  <c r="T520" i="2" l="1"/>
  <c r="R521" i="2"/>
  <c r="S517" i="2"/>
  <c r="Q518" i="2"/>
  <c r="T521" i="2" l="1"/>
  <c r="R522" i="2"/>
  <c r="S518" i="2"/>
  <c r="Q519" i="2"/>
  <c r="T522" i="2" l="1"/>
  <c r="R523" i="2"/>
  <c r="S519" i="2"/>
  <c r="Q520" i="2"/>
  <c r="T523" i="2" l="1"/>
  <c r="R524" i="2"/>
  <c r="S520" i="2"/>
  <c r="Q521" i="2"/>
  <c r="T524" i="2" l="1"/>
  <c r="R525" i="2"/>
  <c r="S521" i="2"/>
  <c r="Q522" i="2"/>
  <c r="R526" i="2" l="1"/>
  <c r="T526" i="2" s="1"/>
  <c r="H10" i="3" s="1"/>
  <c r="T525" i="2"/>
  <c r="S522" i="2"/>
  <c r="Q523" i="2"/>
  <c r="Q524" i="2" l="1"/>
  <c r="S523" i="2"/>
  <c r="S524" i="2" l="1"/>
  <c r="Q525" i="2"/>
  <c r="S525" i="2" l="1"/>
  <c r="Q526" i="2"/>
  <c r="S526" i="2" s="1"/>
  <c r="H11" i="3" s="1"/>
  <c r="B8" i="6" s="1"/>
  <c r="C16" i="6" s="1"/>
  <c r="D16" i="6" s="1"/>
  <c r="B21" i="6" s="1"/>
</calcChain>
</file>

<file path=xl/sharedStrings.xml><?xml version="1.0" encoding="utf-8"?>
<sst xmlns="http://schemas.openxmlformats.org/spreadsheetml/2006/main" count="280" uniqueCount="229">
  <si>
    <t>Portfolio summary</t>
  </si>
  <si>
    <t>Key numbers</t>
  </si>
  <si>
    <t>Expected return per year (after the put)</t>
  </si>
  <si>
    <t>Volatility per year</t>
  </si>
  <si>
    <t>Sharpe ratio (4 assets)</t>
  </si>
  <si>
    <t>Maximum drawdown 2016–26</t>
  </si>
  <si>
    <t>Beta against the S&amp;P 500</t>
  </si>
  <si>
    <t>Maximum loss from an S&amp;P 500 fall (with the put)</t>
  </si>
  <si>
    <t>Does the portfolio respect the mandate?</t>
  </si>
  <si>
    <t>Check</t>
  </si>
  <si>
    <t>Limit</t>
  </si>
  <si>
    <t>Actual</t>
  </si>
  <si>
    <t>OK?</t>
  </si>
  <si>
    <t>Expected return after the put ≥ target</t>
  </si>
  <si>
    <t>Volatility ≤ maximum</t>
  </si>
  <si>
    <t>Maximum drawdown ≤ limit</t>
  </si>
  <si>
    <t>Treasury weight ≥ minimum</t>
  </si>
  <si>
    <t>Largest weight ≤ maximum</t>
  </si>
  <si>
    <t>Smallest weight ≥ minimum</t>
  </si>
  <si>
    <t>Weights add up to 100%</t>
  </si>
  <si>
    <t>Overall</t>
  </si>
  <si>
    <t>The assets</t>
  </si>
  <si>
    <t>Asset</t>
  </si>
  <si>
    <t>Weight</t>
  </si>
  <si>
    <t>Expected return</t>
  </si>
  <si>
    <t>Volatility</t>
  </si>
  <si>
    <t>Beta</t>
  </si>
  <si>
    <t>Valuation / duration</t>
  </si>
  <si>
    <t>About the portfolio</t>
  </si>
  <si>
    <t>Investor</t>
  </si>
  <si>
    <t>Long-term private investor, USD 1m, no short-term needs. Wants about 8% a year with less risk than the S&amp;P 500.</t>
  </si>
  <si>
    <t>Why the US market</t>
  </si>
  <si>
    <t>• Deepest and most liquid market: large caps and the Treasury market.</t>
  </si>
  <si>
    <t>• Everything is in USD: no currency risk, and the risk-free rate and the benchmark are in the same market.</t>
  </si>
  <si>
    <t>• Long, clean data for every asset (521 weekly prices) and audited company reporting.</t>
  </si>
  <si>
    <t>Why these assets</t>
  </si>
  <si>
    <t>Main risks</t>
  </si>
  <si>
    <t>• The put prices are model prices, not market quotes.</t>
  </si>
  <si>
    <t>Portfolio analysis – inputs</t>
  </si>
  <si>
    <t>Yellow cells with blue text are the numbers you can change. Everything else in the workbook is calculated from them.</t>
  </si>
  <si>
    <t>Portfolio</t>
  </si>
  <si>
    <t>Why we hold it</t>
  </si>
  <si>
    <t>LMT</t>
  </si>
  <si>
    <t>Defence contractor: stable cash flows and dividend</t>
  </si>
  <si>
    <t>TXN</t>
  </si>
  <si>
    <t>Growth engine: highest expected return of the mix</t>
  </si>
  <si>
    <t>KO</t>
  </si>
  <si>
    <t>Low-volatility dividend payer</t>
  </si>
  <si>
    <t>UST 5Y</t>
  </si>
  <si>
    <t>5-year US Treasury: coupon income, low risk, almost no link with the stocks</t>
  </si>
  <si>
    <t>S&amp;P 500</t>
  </si>
  <si>
    <t>Benchmark: used for beta and CAPM (not in the portfolio)</t>
  </si>
  <si>
    <t>Total</t>
  </si>
  <si>
    <t>Market</t>
  </si>
  <si>
    <t>Risk-free rate</t>
  </si>
  <si>
    <t>5-year US Treasury par yield, 13-Oct-2026</t>
  </si>
  <si>
    <t>Equity risk premium (ERP)</t>
  </si>
  <si>
    <t>Kroll recommended US ERP, September 2026. CAPM: expected return = risk-free rate + beta × ERP</t>
  </si>
  <si>
    <t>Capital invested (USD)</t>
  </si>
  <si>
    <t>Used for the dollar amounts</t>
  </si>
  <si>
    <t>Weeks per year</t>
  </si>
  <si>
    <t>Weekly data: yearly return = weekly average × 52, yearly volatility = weekly volatility × √52</t>
  </si>
  <si>
    <t>Mandate (what the investor asks for)</t>
  </si>
  <si>
    <t>Target return (per year)</t>
  </si>
  <si>
    <t>The expected return must reach this</t>
  </si>
  <si>
    <t>Maximum volatility</t>
  </si>
  <si>
    <t>Risk budget</t>
  </si>
  <si>
    <t>Maximum drawdown</t>
  </si>
  <si>
    <t>0.26 = a 26% peak-to-trough loss is the most the investor accepts. To calculate it we took the max drawdown for the SP500 (31.8%) and its return (10%). The return of our PTF is 8.17% so for this return for an interesting max drawdown value it has to be under 26% because : 8.17%*31.8%/10% = 26%</t>
  </si>
  <si>
    <t>Minimum Treasury weight</t>
  </si>
  <si>
    <t>Defensive part of the portfolio</t>
  </si>
  <si>
    <t>Maximum weight per asset</t>
  </si>
  <si>
    <t>No concentration</t>
  </si>
  <si>
    <t>Minimum weight per asset</t>
  </si>
  <si>
    <t>Every asset counts</t>
  </si>
  <si>
    <t>Put on the S&amp;P 500</t>
  </si>
  <si>
    <t>Put in the portfolio? (Yes / No)</t>
  </si>
  <si>
    <t>Yes</t>
  </si>
  <si>
    <t>Yes = the 4 assets + the put (our choice). No = the 4 assets only</t>
  </si>
  <si>
    <t>Strike (% of today's S&amp;P 500 level)</t>
  </si>
  <si>
    <t>80% = the put only pays if the S&amp;P 500 falls by more than 20%</t>
  </si>
  <si>
    <t>Share of the stock exposure hedged</t>
  </si>
  <si>
    <t>100% = the put covers the whole part of the stocks that moves with the S&amp;P 500</t>
  </si>
  <si>
    <t>How it works</t>
  </si>
  <si>
    <t>Inputs → Data → Portfolio → Valuation and Bond → Risk → Summary. Change a yellow cell and everything updates (the Monte Carlo needs a click on its button).</t>
  </si>
  <si>
    <t>Expected return of each asset = risk-free rate + beta × ERP (CAPM). Beta is the slope of the weekly returns against the S&amp;P 500.</t>
  </si>
  <si>
    <t>The bond has no price series: its weekly return comes from the change in the 5Y yield, with duration and convexity (sheet Valuation and Bond).</t>
  </si>
  <si>
    <t>The put prices on the Risk sheet are Black–Scholes model prices, not market quotes.</t>
  </si>
  <si>
    <t>Sources</t>
  </si>
  <si>
    <t>Prices: weekly closes of LMT, TXN, KO and the S&amp;P 500, 21-Oct-2016 to 9-Oct-2026 (521 weeks). Price only, no dividends.</t>
  </si>
  <si>
    <t>5-year Treasury yield: FRED WGS5YR (weekly average, % per year).</t>
  </si>
  <si>
    <t>Risk-free rate: US Treasury par yield curve, 13-Oct-2026. Equity risk premium: Kroll, September 2026.</t>
  </si>
  <si>
    <t>Share prices (13-Oct-2026 close) and dividends per share: stockanalysis.com.</t>
  </si>
  <si>
    <t>Weekly data</t>
  </si>
  <si>
    <t>Prices are weekly closes (stocks and S&amp;P 500 without dividends). The 5Y yield is in % per year. The portfolio return uses the weights of the Inputs sheet.</t>
  </si>
  <si>
    <t>Prices</t>
  </si>
  <si>
    <t>Weekly returns</t>
  </si>
  <si>
    <t>Growth and drawdown</t>
  </si>
  <si>
    <t>Weight →</t>
  </si>
  <si>
    <t>Date</t>
  </si>
  <si>
    <t>UST 5Y yield (%)</t>
  </si>
  <si>
    <t>Equal weights</t>
  </si>
  <si>
    <t>Min variance</t>
  </si>
  <si>
    <t>Portfolio (base 100)</t>
  </si>
  <si>
    <t>S&amp;P 500 (base 100)</t>
  </si>
  <si>
    <t>Portfolio drawdown</t>
  </si>
  <si>
    <t>S&amp;P 500 drawdown</t>
  </si>
  <si>
    <t>Portfolio – statistics, correlations and alternative allocations</t>
  </si>
  <si>
    <t>Everything is calculated from the weekly data. Expected return = risk-free rate + beta × equity risk premium (CAPM).</t>
  </si>
  <si>
    <t>Statistics by asset (per year)</t>
  </si>
  <si>
    <t>Historical return</t>
  </si>
  <si>
    <t>Expected return (CAPM)</t>
  </si>
  <si>
    <t>Sharpe ratio</t>
  </si>
  <si>
    <t>Max drawdown</t>
  </si>
  <si>
    <t>–</t>
  </si>
  <si>
    <t>Portfolio (4 assets)</t>
  </si>
  <si>
    <t>Sharpe ratio = (expected return − risk-free rate) ÷ volatility. The portfolio line is before the put (see the Risk sheet). Drawdown = worst fall from a previous peak, 2016–26.</t>
  </si>
  <si>
    <t>Correlation of weekly returns</t>
  </si>
  <si>
    <t>Alternative allocations</t>
  </si>
  <si>
    <t>Allocation</t>
  </si>
  <si>
    <t>Minimum variance (Solver)</t>
  </si>
  <si>
    <t>Our portfolio (max Sharpe, Solver)</t>
  </si>
  <si>
    <t>The grey weights were found with Solver (same limits as the mandate) and pasted as numbers: they do not move if you change the inputs. Our weights are the max-Sharpe result.</t>
  </si>
  <si>
    <t>Valuation of the stocks and the 5-year Treasury</t>
  </si>
  <si>
    <t>Stocks: Gordon growth model and a two-stage dividend discount model. Bond: price, duration and convexity.</t>
  </si>
  <si>
    <t>Stocks – dividend discount models</t>
  </si>
  <si>
    <t>Share price, 13-Oct-2026 (USD)</t>
  </si>
  <si>
    <t>Required return r = risk-free rate + beta × ERP</t>
  </si>
  <si>
    <t>Last dividend D0 (USD per share, 2025)</t>
  </si>
  <si>
    <t>Dividend growth g = ln(D2025 ÷ D2021) ÷ 4</t>
  </si>
  <si>
    <t>Gordon value V0 = D0 × (1 + g) ÷ (r − g)</t>
  </si>
  <si>
    <t>Upside vs share price</t>
  </si>
  <si>
    <t>Signal</t>
  </si>
  <si>
    <t>Growth the price implies g* = (P × r − D0) ÷ (P + D0)</t>
  </si>
  <si>
    <t>Two-stage model: growth g1 for N years, then g2 forever</t>
  </si>
  <si>
    <t>Growth in stage 1, g1</t>
  </si>
  <si>
    <t>Length of stage 1, N (years)</t>
  </si>
  <si>
    <t>Long-run growth after stage 1, g2</t>
  </si>
  <si>
    <t>Two-stage value (USD per share)</t>
  </si>
  <si>
    <t>Dividend per share (USD, stockanalysis.com)</t>
  </si>
  <si>
    <t>Year</t>
  </si>
  <si>
    <t>Bond – 5-year US Treasury</t>
  </si>
  <si>
    <t>Face value (USD)</t>
  </si>
  <si>
    <t>Coupon rate (per year)</t>
  </si>
  <si>
    <t>Yield to maturity (per year)</t>
  </si>
  <si>
    <t>Years to maturity</t>
  </si>
  <si>
    <t>Coupons per year</t>
  </si>
  <si>
    <t>Yield change used for duration (bp)</t>
  </si>
  <si>
    <t>Bond price (USD)</t>
  </si>
  <si>
    <t>Price if the yield rises by the bump</t>
  </si>
  <si>
    <t>Price if the yield falls by the bump</t>
  </si>
  <si>
    <t>Modified duration = (P− − P+) ÷ (2 × P × bump)</t>
  </si>
  <si>
    <t>Convexity = (P+ + P− − 2 × P) ÷ (P × bump²)</t>
  </si>
  <si>
    <t>Price change when the yield moves</t>
  </si>
  <si>
    <t>Yield change (bp)</t>
  </si>
  <si>
    <t>Duration only</t>
  </si>
  <si>
    <t>Duration + convexity</t>
  </si>
  <si>
    <t>Exact price</t>
  </si>
  <si>
    <t>Price and yield</t>
  </si>
  <si>
    <t>Yield</t>
  </si>
  <si>
    <t>Price (USD)</t>
  </si>
  <si>
    <t>Risk – stress tests, the put and a simple Monte Carlo</t>
  </si>
  <si>
    <t>Yellow cells can be changed. The put prices are Black–Scholes model prices, not market quotes.</t>
  </si>
  <si>
    <t>Monte Carlo output – written by the macro (one final value per simulation)</t>
  </si>
  <si>
    <t>1. Stress tests</t>
  </si>
  <si>
    <t>Final value (USD)</t>
  </si>
  <si>
    <t>Scenario</t>
  </si>
  <si>
    <t>Base case</t>
  </si>
  <si>
    <t>Rates up</t>
  </si>
  <si>
    <t>Rates down</t>
  </si>
  <si>
    <t>Stock market fall</t>
  </si>
  <si>
    <t>Stock market rally</t>
  </si>
  <si>
    <t>Custom</t>
  </si>
  <si>
    <t>S&amp;P 500 move</t>
  </si>
  <si>
    <t>Change in the 5Y Treasury yield (bp)</t>
  </si>
  <si>
    <t>Return of each asset</t>
  </si>
  <si>
    <t>Portfolio return (without the put)</t>
  </si>
  <si>
    <t>Portfolio return with the put</t>
  </si>
  <si>
    <t>Gain / loss with the put (USD)</t>
  </si>
  <si>
    <t>Stocks move with their beta times the S&amp;P 500 move. The bond moves with its duration and convexity. The put pays only if the S&amp;P 500 falls below the strike.</t>
  </si>
  <si>
    <t>2. Put on the S&amp;P 500 (Black–Scholes)</t>
  </si>
  <si>
    <t>Put in the portfolio?</t>
  </si>
  <si>
    <t>Equity beta of the portfolio (stocks only)</t>
  </si>
  <si>
    <t>Amount hedged (USD) = beta × capital × share hedged</t>
  </si>
  <si>
    <t>S&amp;P 500 volatility</t>
  </si>
  <si>
    <t>Expected S&amp;P 500 return (risk-free rate + ERP)</t>
  </si>
  <si>
    <t>Life of the put (years)</t>
  </si>
  <si>
    <t>Our put</t>
  </si>
  <si>
    <t>Other strike</t>
  </si>
  <si>
    <t>d1</t>
  </si>
  <si>
    <t>d2</t>
  </si>
  <si>
    <t>Put price (% of amount hedged)</t>
  </si>
  <si>
    <t>Expected payoff at expiry (% of amount hedged)</t>
  </si>
  <si>
    <t>Premium (USD)</t>
  </si>
  <si>
    <t>Maximum loss from an S&amp;P 500 fall (% of the portfolio)</t>
  </si>
  <si>
    <t>Cost of the put (points of return per year)</t>
  </si>
  <si>
    <t>Expected return after the put</t>
  </si>
  <si>
    <t>Target met?</t>
  </si>
  <si>
    <t>Expected return – 4 assets</t>
  </si>
  <si>
    <t>Expected return – after the put</t>
  </si>
  <si>
    <t>Premium paid (USD)</t>
  </si>
  <si>
    <t>3. Payoff of our put at expiry</t>
  </si>
  <si>
    <t>Only the part of the portfolio that moves with the S&amp;P 500. The premium is counted as paid.</t>
  </si>
  <si>
    <t>Without put</t>
  </si>
  <si>
    <t>Put payoff</t>
  </si>
  <si>
    <t>With put</t>
  </si>
  <si>
    <t>4. Monte Carlo (simple)</t>
  </si>
  <si>
    <t>Random scenarios for the value of the portfolio (4 assets, without the put). Change the yellow cells, then click the button.</t>
  </si>
  <si>
    <t>Horizon (years)</t>
  </si>
  <si>
    <t>Number of simulations (1 to 10,000)</t>
  </si>
  <si>
    <t>Starting value (USD)</t>
  </si>
  <si>
    <t>Expected return per year (4 assets)</t>
  </si>
  <si>
    <t>Click the button to run a new simulation (macros must be enabled).</t>
  </si>
  <si>
    <t>Results</t>
  </si>
  <si>
    <t>Median final value (USD)</t>
  </si>
  <si>
    <t>Median return per year</t>
  </si>
  <si>
    <t>Chance of ending below the starting value</t>
  </si>
  <si>
    <t>Chance of reaching the target return</t>
  </si>
  <si>
    <t>Mean final value (USD)</t>
  </si>
  <si>
    <t>5th percentile (USD)</t>
  </si>
  <si>
    <t>95th percentile (USD)</t>
  </si>
  <si>
    <t>Chance of a loss from the formula (check)</t>
  </si>
  <si>
    <t>Years in the last run</t>
  </si>
  <si>
    <t>Simulations in the last run</t>
  </si>
  <si>
    <t>Distribution of the final value</t>
  </si>
  <si>
    <t>From (USD)</t>
  </si>
  <si>
    <t>To (USD)</t>
  </si>
  <si>
    <t>Runs</t>
  </si>
  <si>
    <t>Range (USD 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</si>
</sst>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6" formatCode="dd\-mmm\-yyyy"/>
    <numFmt numFmtId="167" formatCode="#,##0.0"/>
    <numFmt numFmtId="168" formatCode="0.0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4"/>
      <name val="Calibri"/>
      <family val="2"/>
    </font>
    <font>
      <i/>
      <sz val="10"/>
      <color rgb="FF595959"/>
      <name val="Calibri"/>
      <family val="2"/>
    </font>
    <font>
      <b/>
      <sz val="12"/>
      <color rgb="FF1F3864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1F3864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FFFF99"/>
      </patternFill>
    </fill>
    <fill>
      <patternFill patternType="solid">
        <fgColor rgb="FFEDEDED"/>
      </patternFill>
    </fill>
  </fills>
  <borders count="3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/>
    </xf>
    <xf numFmtId="0" fontId="5" fillId="0" borderId="0" xfId="0" applyFont="1"/>
    <xf numFmtId="10" fontId="6" fillId="3" borderId="2" xfId="0" applyNumberFormat="1" applyFont="1" applyFill="1" applyBorder="1"/>
    <xf numFmtId="0" fontId="4" fillId="0" borderId="0" xfId="0" applyFont="1"/>
    <xf numFmtId="10" fontId="4" fillId="0" borderId="0" xfId="0" applyNumberFormat="1" applyFont="1"/>
    <xf numFmtId="3" fontId="6" fillId="3" borderId="2" xfId="0" applyNumberFormat="1" applyFont="1" applyFill="1" applyBorder="1"/>
    <xf numFmtId="1" fontId="6" fillId="3" borderId="2" xfId="0" applyNumberFormat="1" applyFont="1" applyFill="1" applyBorder="1"/>
    <xf numFmtId="164" fontId="6" fillId="3" borderId="2" xfId="0" applyNumberFormat="1" applyFont="1" applyFill="1" applyBorder="1"/>
    <xf numFmtId="0" fontId="6" fillId="3" borderId="2" xfId="0" applyFont="1" applyFill="1" applyBorder="1" applyAlignment="1">
      <alignment horizontal="center"/>
    </xf>
    <xf numFmtId="9" fontId="6" fillId="3" borderId="2" xfId="0" applyNumberFormat="1" applyFont="1" applyFill="1" applyBorder="1"/>
    <xf numFmtId="0" fontId="2" fillId="0" borderId="0" xfId="0" applyFont="1" applyAlignment="1">
      <alignment horizontal="right"/>
    </xf>
    <xf numFmtId="164" fontId="2" fillId="0" borderId="0" xfId="0" applyNumberFormat="1" applyFont="1" applyAlignment="1">
      <alignment horizontal="center"/>
    </xf>
    <xf numFmtId="166" fontId="5" fillId="0" borderId="0" xfId="0" applyNumberFormat="1" applyFont="1"/>
    <xf numFmtId="2" fontId="5" fillId="0" borderId="0" xfId="0" applyNumberFormat="1" applyFont="1"/>
    <xf numFmtId="167" fontId="5" fillId="0" borderId="0" xfId="0" applyNumberFormat="1" applyFont="1"/>
    <xf numFmtId="168" fontId="5" fillId="0" borderId="0" xfId="0" applyNumberFormat="1" applyFont="1"/>
    <xf numFmtId="164" fontId="5" fillId="0" borderId="0" xfId="0" applyNumberFormat="1" applyFont="1"/>
    <xf numFmtId="10" fontId="5" fillId="0" borderId="0" xfId="0" applyNumberFormat="1" applyFont="1"/>
    <xf numFmtId="164" fontId="4" fillId="0" borderId="0" xfId="0" applyNumberFormat="1" applyFont="1"/>
    <xf numFmtId="2" fontId="4" fillId="0" borderId="0" xfId="0" applyNumberFormat="1" applyFont="1"/>
    <xf numFmtId="2" fontId="5" fillId="0" borderId="0" xfId="0" applyNumberFormat="1" applyFont="1" applyAlignment="1">
      <alignment horizontal="center"/>
    </xf>
    <xf numFmtId="10" fontId="5" fillId="4" borderId="0" xfId="0" applyNumberFormat="1" applyFont="1" applyFill="1"/>
    <xf numFmtId="2" fontId="6" fillId="3" borderId="2" xfId="0" applyNumberFormat="1" applyFont="1" applyFill="1" applyBorder="1"/>
    <xf numFmtId="9" fontId="4" fillId="0" borderId="0" xfId="0" applyNumberFormat="1" applyFont="1"/>
    <xf numFmtId="0" fontId="4" fillId="0" borderId="0" xfId="0" applyFont="1" applyAlignment="1">
      <alignment horizontal="right"/>
    </xf>
    <xf numFmtId="1" fontId="5" fillId="0" borderId="0" xfId="0" applyNumberFormat="1" applyFont="1" applyAlignment="1">
      <alignment horizontal="left"/>
    </xf>
    <xf numFmtId="169" fontId="4" fillId="0" borderId="0" xfId="0" applyNumberFormat="1" applyFont="1"/>
    <xf numFmtId="9" fontId="5" fillId="0" borderId="0" xfId="0" applyNumberFormat="1" applyFont="1" applyAlignment="1">
      <alignment horizontal="left"/>
    </xf>
    <xf numFmtId="0" fontId="4" fillId="2" borderId="1" xfId="0" applyFont="1" applyFill="1" applyBorder="1"/>
    <xf numFmtId="3" fontId="5" fillId="0" borderId="0" xfId="0" applyNumberFormat="1" applyFont="1"/>
    <xf numFmtId="3" fontId="4" fillId="0" borderId="0" xfId="0" applyNumberFormat="1" applyFont="1"/>
    <xf numFmtId="0" fontId="5" fillId="0" borderId="0" xfId="0" applyFont="1" applyAlignment="1">
      <alignment horizontal="right"/>
    </xf>
    <xf numFmtId="9" fontId="5" fillId="0" borderId="0" xfId="0" applyNumberFormat="1" applyFont="1"/>
    <xf numFmtId="169" fontId="5" fillId="0" borderId="0" xfId="0" applyNumberFormat="1" applyFont="1"/>
    <xf numFmtId="10" fontId="4" fillId="0" borderId="0" xfId="0" applyNumberFormat="1" applyFont="1" applyAlignment="1">
      <alignment horizontal="right"/>
    </xf>
    <xf numFmtId="10" fontId="5" fillId="0" borderId="0" xfId="0" applyNumberFormat="1" applyFont="1" applyAlignment="1">
      <alignment horizontal="right"/>
    </xf>
    <xf numFmtId="1" fontId="2" fillId="0" borderId="0" xfId="0" applyNumberFormat="1" applyFont="1"/>
    <xf numFmtId="3" fontId="2" fillId="0" borderId="0" xfId="0" applyNumberFormat="1" applyFont="1"/>
    <xf numFmtId="3" fontId="5" fillId="0" borderId="0" xfId="0" applyNumberFormat="1" applyFont="1" applyAlignment="1">
      <alignment horizontal="left"/>
    </xf>
    <xf numFmtId="1" fontId="5" fillId="0" borderId="0" xfId="0" applyNumberFormat="1" applyFont="1"/>
    <xf numFmtId="10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2" fontId="7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color rgb="FFC00000"/>
      </font>
    </dxf>
    <dxf>
      <font>
        <b/>
        <color rgb="FF008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Upside against the share price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Gordon</c:v>
          </c:tx>
          <c:spPr>
            <a:solidFill>
              <a:srgbClr val="1F3864"/>
            </a:solidFill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'Valuation and Bond'!$B$5:$D$5</c:f>
              <c:strCache>
                <c:ptCount val="3"/>
                <c:pt idx="0">
                  <c:v>LMT</c:v>
                </c:pt>
                <c:pt idx="1">
                  <c:v>TXN</c:v>
                </c:pt>
                <c:pt idx="2">
                  <c:v>KO</c:v>
                </c:pt>
              </c:strCache>
            </c:strRef>
          </c:cat>
          <c:val>
            <c:numRef>
              <c:f>'Valuation and Bond'!$B$12:$D$12</c:f>
              <c:numCache>
                <c:formatCode>0%</c:formatCode>
                <c:ptCount val="3"/>
                <c:pt idx="0">
                  <c:v>0.1482160180996861</c:v>
                </c:pt>
                <c:pt idx="1">
                  <c:v>-0.39835099990665324</c:v>
                </c:pt>
                <c:pt idx="2">
                  <c:v>-0.27631514205439434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4-EE49-9E63-103AB33F0A0B}"/>
            </c:ext>
          </c:extLst>
        </c:ser>
        <c:ser>
          <c:idx val="1"/>
          <c:order val="1"/>
          <c:tx>
            <c:v>Two-stage</c:v>
          </c:tx>
          <c:spPr>
            <a:solidFill>
              <a:srgbClr val="ED7D31"/>
            </a:solidFill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'Valuation and Bond'!$B$5:$D$5</c:f>
              <c:strCache>
                <c:ptCount val="3"/>
                <c:pt idx="0">
                  <c:v>LMT</c:v>
                </c:pt>
                <c:pt idx="1">
                  <c:v>TXN</c:v>
                </c:pt>
                <c:pt idx="2">
                  <c:v>KO</c:v>
                </c:pt>
              </c:strCache>
            </c:strRef>
          </c:cat>
          <c:val>
            <c:numRef>
              <c:f>'Valuation and Bond'!$B$21:$D$21</c:f>
              <c:numCache>
                <c:formatCode>0%</c:formatCode>
                <c:ptCount val="3"/>
                <c:pt idx="0">
                  <c:v>-0.44624742846033094</c:v>
                </c:pt>
                <c:pt idx="1">
                  <c:v>-0.68757895118862744</c:v>
                </c:pt>
                <c:pt idx="2">
                  <c:v>-0.54072924990806981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4-EE49-9E63-103AB33F0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Bond price against yield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Bond price</c:v>
          </c:tx>
          <c:spPr>
            <a:ln w="28575">
              <a:solidFill>
                <a:srgbClr val="1F3864"/>
              </a:solidFill>
              <a:prstDash val="solid"/>
            </a:ln>
          </c:spPr>
          <c:marker>
            <c:symbol val="none"/>
          </c:marker>
          <c:xVal>
            <c:numRef>
              <c:f>'Valuation and Bond'!$A$56:$A$64</c:f>
              <c:numCache>
                <c:formatCode>0%</c:formatCode>
                <c:ptCount val="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'Valuation and Bond'!$B$56:$B$64</c:f>
              <c:numCache>
                <c:formatCode>0.00</c:formatCode>
                <c:ptCount val="9"/>
                <c:pt idx="0">
                  <c:v>1194.6082372157196</c:v>
                </c:pt>
                <c:pt idx="1">
                  <c:v>1142.0695679605253</c:v>
                </c:pt>
                <c:pt idx="2">
                  <c:v>1092.2218455185437</c:v>
                </c:pt>
                <c:pt idx="3">
                  <c:v>1044.9129250312112</c:v>
                </c:pt>
                <c:pt idx="4">
                  <c:v>999.99999999999989</c:v>
                </c:pt>
                <c:pt idx="5">
                  <c:v>957.34898581612094</c:v>
                </c:pt>
                <c:pt idx="6">
                  <c:v>916.83394677422064</c:v>
                </c:pt>
                <c:pt idx="7">
                  <c:v>878.33656330967449</c:v>
                </c:pt>
                <c:pt idx="8">
                  <c:v>841.74563645779688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D2-A44B-AD8B-021F0C273C04}"/>
            </c:ext>
          </c:extLst>
        </c:ser>
        <c:ser>
          <c:idx val="1"/>
          <c:order val="1"/>
          <c:tx>
            <c:v>Today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'Valuation and Bond'!$B$36</c:f>
              <c:numCache>
                <c:formatCode>0.00%</c:formatCode>
                <c:ptCount val="1"/>
                <c:pt idx="0">
                  <c:v>0.05</c:v>
                </c:pt>
              </c:numCache>
            </c:numRef>
          </c:xVal>
          <c:yVal>
            <c:numRef>
              <c:f>'Valuation and Bond'!$B$41</c:f>
              <c:numCache>
                <c:formatCode>0.00</c:formatCode>
                <c:ptCount val="1"/>
                <c:pt idx="0">
                  <c:v>999.99999999999989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D2-A44B-AD8B-021F0C273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0.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Yield</a:t>
                </a:r>
              </a:p>
            </c:rich>
          </c:tx>
          <c:overlay val="1"/>
        </c:title>
        <c:numFmt formatCode="0%" sourceLinked="0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in val="8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 (USD)</a:t>
                </a:r>
              </a:p>
            </c:rich>
          </c:tx>
          <c:overlay val="1"/>
        </c:title>
        <c:numFmt formatCode="#,##0" sourceLinked="0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Portfolio return with the put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1F3864"/>
            </a:solidFill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Risk!$B$5:$G$5</c:f>
              <c:strCache>
                <c:ptCount val="6"/>
                <c:pt idx="0">
                  <c:v>Base case</c:v>
                </c:pt>
                <c:pt idx="1">
                  <c:v>Rates up</c:v>
                </c:pt>
                <c:pt idx="2">
                  <c:v>Rates down</c:v>
                </c:pt>
                <c:pt idx="3">
                  <c:v>Stock market fall</c:v>
                </c:pt>
                <c:pt idx="4">
                  <c:v>Stock market rally</c:v>
                </c:pt>
                <c:pt idx="5">
                  <c:v>Custom</c:v>
                </c:pt>
              </c:strCache>
            </c:strRef>
          </c:cat>
          <c:val>
            <c:numRef>
              <c:f>Risk!$B$14:$G$14</c:f>
              <c:numCache>
                <c:formatCode>0.0%</c:formatCode>
                <c:ptCount val="6"/>
                <c:pt idx="0">
                  <c:v>-2.2078964892899072E-3</c:v>
                </c:pt>
                <c:pt idx="1">
                  <c:v>-1.0734103528143999E-2</c:v>
                </c:pt>
                <c:pt idx="2">
                  <c:v>6.770565474819878E-3</c:v>
                </c:pt>
                <c:pt idx="3">
                  <c:v>-0.12843721475240863</c:v>
                </c:pt>
                <c:pt idx="4">
                  <c:v>9.2464092208049145E-2</c:v>
                </c:pt>
                <c:pt idx="5">
                  <c:v>-6.9642191005933274E-2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E-BC44-B097-0D049C34E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Gain / loss at expiry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Without put</c:v>
          </c:tx>
          <c:spPr>
            <a:ln w="28575">
              <a:solidFill>
                <a:srgbClr val="ED7D31"/>
              </a:solidFill>
              <a:prstDash val="solid"/>
            </a:ln>
          </c:spPr>
          <c:marker>
            <c:symbol val="none"/>
          </c:marker>
          <c:xVal>
            <c:numRef>
              <c:f>Risk!$A$49:$A$57</c:f>
              <c:numCache>
                <c:formatCode>0%</c:formatCode>
                <c:ptCount val="9"/>
                <c:pt idx="0">
                  <c:v>-0.4</c:v>
                </c:pt>
                <c:pt idx="1">
                  <c:v>-0.3</c:v>
                </c:pt>
                <c:pt idx="2">
                  <c:v>-0.2</c:v>
                </c:pt>
                <c:pt idx="3">
                  <c:v>-0.1</c:v>
                </c:pt>
                <c:pt idx="4">
                  <c:v>0</c:v>
                </c:pt>
                <c:pt idx="5">
                  <c:v>0.1</c:v>
                </c:pt>
                <c:pt idx="6">
                  <c:v>0.2</c:v>
                </c:pt>
                <c:pt idx="7">
                  <c:v>0.3</c:v>
                </c:pt>
                <c:pt idx="8">
                  <c:v>0.4</c:v>
                </c:pt>
              </c:numCache>
            </c:numRef>
          </c:xVal>
          <c:yVal>
            <c:numRef>
              <c:f>Risk!$B$49:$B$57</c:f>
              <c:numCache>
                <c:formatCode>0.0%</c:formatCode>
                <c:ptCount val="9"/>
                <c:pt idx="0">
                  <c:v>-0.25245863652623746</c:v>
                </c:pt>
                <c:pt idx="1">
                  <c:v>-0.18934397739467806</c:v>
                </c:pt>
                <c:pt idx="2">
                  <c:v>-0.12622931826311873</c:v>
                </c:pt>
                <c:pt idx="3">
                  <c:v>-6.3114659131559364E-2</c:v>
                </c:pt>
                <c:pt idx="4">
                  <c:v>0</c:v>
                </c:pt>
                <c:pt idx="5">
                  <c:v>6.3114659131559364E-2</c:v>
                </c:pt>
                <c:pt idx="6">
                  <c:v>0.12622931826311873</c:v>
                </c:pt>
                <c:pt idx="7">
                  <c:v>0.18934397739467806</c:v>
                </c:pt>
                <c:pt idx="8">
                  <c:v>0.25245863652623746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F6-DE43-9C24-EFF270C2A831}"/>
            </c:ext>
          </c:extLst>
        </c:ser>
        <c:ser>
          <c:idx val="1"/>
          <c:order val="1"/>
          <c:tx>
            <c:v>With put</c:v>
          </c:tx>
          <c:spPr>
            <a:ln w="28575">
              <a:solidFill>
                <a:srgbClr val="1F3864"/>
              </a:solidFill>
              <a:prstDash val="solid"/>
            </a:ln>
          </c:spPr>
          <c:marker>
            <c:symbol val="none"/>
          </c:marker>
          <c:xVal>
            <c:numRef>
              <c:f>Risk!$A$49:$A$57</c:f>
              <c:numCache>
                <c:formatCode>0%</c:formatCode>
                <c:ptCount val="9"/>
                <c:pt idx="0">
                  <c:v>-0.4</c:v>
                </c:pt>
                <c:pt idx="1">
                  <c:v>-0.3</c:v>
                </c:pt>
                <c:pt idx="2">
                  <c:v>-0.2</c:v>
                </c:pt>
                <c:pt idx="3">
                  <c:v>-0.1</c:v>
                </c:pt>
                <c:pt idx="4">
                  <c:v>0</c:v>
                </c:pt>
                <c:pt idx="5">
                  <c:v>0.1</c:v>
                </c:pt>
                <c:pt idx="6">
                  <c:v>0.2</c:v>
                </c:pt>
                <c:pt idx="7">
                  <c:v>0.3</c:v>
                </c:pt>
                <c:pt idx="8">
                  <c:v>0.4</c:v>
                </c:pt>
              </c:numCache>
            </c:numRef>
          </c:xVal>
          <c:yVal>
            <c:numRef>
              <c:f>Risk!$D$49:$D$57</c:f>
              <c:numCache>
                <c:formatCode>0.0%</c:formatCode>
                <c:ptCount val="9"/>
                <c:pt idx="0">
                  <c:v>-0.1284372147524086</c:v>
                </c:pt>
                <c:pt idx="1">
                  <c:v>-0.12843721475240855</c:v>
                </c:pt>
                <c:pt idx="2">
                  <c:v>-0.12843721475240863</c:v>
                </c:pt>
                <c:pt idx="3">
                  <c:v>-6.5322555620849265E-2</c:v>
                </c:pt>
                <c:pt idx="4">
                  <c:v>-2.2078964892899072E-3</c:v>
                </c:pt>
                <c:pt idx="5">
                  <c:v>6.0906762642269456E-2</c:v>
                </c:pt>
                <c:pt idx="6">
                  <c:v>0.12402142177382883</c:v>
                </c:pt>
                <c:pt idx="7">
                  <c:v>0.18713608090538816</c:v>
                </c:pt>
                <c:pt idx="8">
                  <c:v>0.25025074003694753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F6-DE43-9C24-EFF270C2A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S&amp;P 500 move</a:t>
                </a:r>
              </a:p>
            </c:rich>
          </c:tx>
          <c:overlay val="1"/>
        </c:title>
        <c:numFmt formatCode="0%" sourceLinked="0"/>
        <c:majorTickMark val="none"/>
        <c:minorTickMark val="none"/>
        <c:tickLblPos val="low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the portfolio</a:t>
                </a:r>
              </a:p>
            </c:rich>
          </c:tx>
          <c:overlay val="1"/>
        </c:title>
        <c:numFmt formatCode="0%" sourceLinked="0"/>
        <c:majorTickMark val="none"/>
        <c:minorTickMark val="none"/>
        <c:tickLblPos val="low"/>
        <c:crossAx val="10"/>
        <c:crosses val="autoZero"/>
        <c:crossBetween val="midCat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Final value of the portfolio: number of runs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2E75B6"/>
            </a:solidFill>
            <a:ln>
              <a:prstDash val="solid"/>
            </a:ln>
          </c:spPr>
          <c:invertIfNegative val="1"/>
          <c:cat>
            <c:strRef>
              <c:f>Risk!$D$84:$D$93</c:f>
              <c:strCache>
                <c:ptCount val="10"/>
                <c:pt idx="0">
                  <c:v>0.4–1.6</c:v>
                </c:pt>
                <c:pt idx="1">
                  <c:v>1.6–2.8</c:v>
                </c:pt>
                <c:pt idx="2">
                  <c:v>2.8–4.1</c:v>
                </c:pt>
                <c:pt idx="3">
                  <c:v>4.1–5.3</c:v>
                </c:pt>
                <c:pt idx="4">
                  <c:v>5.3–6.5</c:v>
                </c:pt>
                <c:pt idx="5">
                  <c:v>6.5–7.7</c:v>
                </c:pt>
                <c:pt idx="6">
                  <c:v>7.7–8.9</c:v>
                </c:pt>
                <c:pt idx="7">
                  <c:v>8.9–10.2</c:v>
                </c:pt>
                <c:pt idx="8">
                  <c:v>10.2–11.4</c:v>
                </c:pt>
                <c:pt idx="9">
                  <c:v>11.4–12.6</c:v>
                </c:pt>
              </c:strCache>
            </c:strRef>
          </c:cat>
          <c:val>
            <c:numRef>
              <c:f>Risk!$C$84:$C$93</c:f>
              <c:numCache>
                <c:formatCode>0</c:formatCode>
                <c:ptCount val="10"/>
                <c:pt idx="0">
                  <c:v>323</c:v>
                </c:pt>
                <c:pt idx="1">
                  <c:v>477</c:v>
                </c:pt>
                <c:pt idx="2">
                  <c:v>146</c:v>
                </c:pt>
                <c:pt idx="3">
                  <c:v>41</c:v>
                </c:pt>
                <c:pt idx="4">
                  <c:v>9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DFA-8442-9FBF-D42FA81C8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Final value of the portfolio (USD million)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Weights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1F3864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11D-7C4C-AB6F-15EEAB90D77F}"/>
              </c:ext>
            </c:extLst>
          </c:dPt>
          <c:dPt>
            <c:idx val="1"/>
            <c:bubble3D val="0"/>
            <c:spPr>
              <a:solidFill>
                <a:srgbClr val="2E75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11D-7C4C-AB6F-15EEAB90D77F}"/>
              </c:ext>
            </c:extLst>
          </c:dPt>
          <c:dPt>
            <c:idx val="2"/>
            <c:bubble3D val="0"/>
            <c:spPr>
              <a:solidFill>
                <a:srgbClr val="ED7D31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11D-7C4C-AB6F-15EEAB90D77F}"/>
              </c:ext>
            </c:extLst>
          </c:dPt>
          <c:dPt>
            <c:idx val="3"/>
            <c:bubble3D val="0"/>
            <c:spPr>
              <a:solidFill>
                <a:srgbClr val="7F7F7F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A11D-7C4C-AB6F-15EEAB90D77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Inputs!$A$6:$A$9</c:f>
              <c:strCache>
                <c:ptCount val="4"/>
                <c:pt idx="0">
                  <c:v>LMT</c:v>
                </c:pt>
                <c:pt idx="1">
                  <c:v>TXN</c:v>
                </c:pt>
                <c:pt idx="2">
                  <c:v>KO</c:v>
                </c:pt>
                <c:pt idx="3">
                  <c:v>UST 5Y</c:v>
                </c:pt>
              </c:strCache>
            </c:strRef>
          </c:cat>
          <c:val>
            <c:numRef>
              <c:f>Inputs!$B$6:$B$9</c:f>
              <c:numCache>
                <c:formatCode>0.00%</c:formatCode>
                <c:ptCount val="4"/>
                <c:pt idx="0">
                  <c:v>0.13250000000000001</c:v>
                </c:pt>
                <c:pt idx="1">
                  <c:v>0.33</c:v>
                </c:pt>
                <c:pt idx="2">
                  <c:v>0.33750000000000002</c:v>
                </c:pt>
                <c:pt idx="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1D-7C4C-AB6F-15EEAB90D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Expected return per year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1F3864"/>
            </a:solidFill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Portfolio!$A$6:$A$11</c:f>
              <c:strCache>
                <c:ptCount val="6"/>
                <c:pt idx="0">
                  <c:v>LMT</c:v>
                </c:pt>
                <c:pt idx="1">
                  <c:v>TXN</c:v>
                </c:pt>
                <c:pt idx="2">
                  <c:v>KO</c:v>
                </c:pt>
                <c:pt idx="3">
                  <c:v>UST 5Y</c:v>
                </c:pt>
                <c:pt idx="4">
                  <c:v>S&amp;P 500</c:v>
                </c:pt>
                <c:pt idx="5">
                  <c:v>Portfolio (4 assets)</c:v>
                </c:pt>
              </c:strCache>
            </c:strRef>
          </c:cat>
          <c:val>
            <c:numRef>
              <c:f>Portfolio!$F$6:$F$11</c:f>
              <c:numCache>
                <c:formatCode>0.00%</c:formatCode>
                <c:ptCount val="6"/>
                <c:pt idx="0">
                  <c:v>8.2063823190312427E-2</c:v>
                </c:pt>
                <c:pt idx="1">
                  <c:v>0.10070148266524581</c:v>
                </c:pt>
                <c:pt idx="2">
                  <c:v>8.1340396188243458E-2</c:v>
                </c:pt>
                <c:pt idx="3">
                  <c:v>5.0616263604411592E-2</c:v>
                </c:pt>
                <c:pt idx="4">
                  <c:v>0.1</c:v>
                </c:pt>
                <c:pt idx="5">
                  <c:v>8.1680582286662001E-2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C3-1E4F-88CA-41A2011A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What 100 invested in October 2016 became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Data!$Q$5</c:f>
              <c:strCache>
                <c:ptCount val="1"/>
                <c:pt idx="0">
                  <c:v>Portfolio (base 100)</c:v>
                </c:pt>
              </c:strCache>
            </c:strRef>
          </c:tx>
          <c:spPr>
            <a:ln w="28575">
              <a:solidFill>
                <a:srgbClr val="1F3864"/>
              </a:solidFill>
              <a:prstDash val="solid"/>
            </a:ln>
          </c:spPr>
          <c:marker>
            <c:symbol val="none"/>
          </c:marker>
          <c:cat>
            <c:numRef>
              <c:f>Data!$A$6:$A$526</c:f>
              <c:numCache>
                <c:formatCode>dd\-mmm\-yyyy</c:formatCode>
                <c:ptCount val="521"/>
                <c:pt idx="0">
                  <c:v>42664</c:v>
                </c:pt>
                <c:pt idx="1">
                  <c:v>42671</c:v>
                </c:pt>
                <c:pt idx="2">
                  <c:v>42678</c:v>
                </c:pt>
                <c:pt idx="3">
                  <c:v>42685</c:v>
                </c:pt>
                <c:pt idx="4">
                  <c:v>42692</c:v>
                </c:pt>
                <c:pt idx="5">
                  <c:v>42699</c:v>
                </c:pt>
                <c:pt idx="6">
                  <c:v>42706</c:v>
                </c:pt>
                <c:pt idx="7">
                  <c:v>42713</c:v>
                </c:pt>
                <c:pt idx="8">
                  <c:v>42720</c:v>
                </c:pt>
                <c:pt idx="9">
                  <c:v>42727</c:v>
                </c:pt>
                <c:pt idx="10">
                  <c:v>42734</c:v>
                </c:pt>
                <c:pt idx="11">
                  <c:v>42741</c:v>
                </c:pt>
                <c:pt idx="12">
                  <c:v>42748</c:v>
                </c:pt>
                <c:pt idx="13">
                  <c:v>42755</c:v>
                </c:pt>
                <c:pt idx="14">
                  <c:v>42762</c:v>
                </c:pt>
                <c:pt idx="15">
                  <c:v>42769</c:v>
                </c:pt>
                <c:pt idx="16">
                  <c:v>42776</c:v>
                </c:pt>
                <c:pt idx="17">
                  <c:v>42783</c:v>
                </c:pt>
                <c:pt idx="18">
                  <c:v>42790</c:v>
                </c:pt>
                <c:pt idx="19">
                  <c:v>42797</c:v>
                </c:pt>
                <c:pt idx="20">
                  <c:v>42804</c:v>
                </c:pt>
                <c:pt idx="21">
                  <c:v>42811</c:v>
                </c:pt>
                <c:pt idx="22">
                  <c:v>42818</c:v>
                </c:pt>
                <c:pt idx="23">
                  <c:v>42825</c:v>
                </c:pt>
                <c:pt idx="24">
                  <c:v>42832</c:v>
                </c:pt>
                <c:pt idx="25">
                  <c:v>42839</c:v>
                </c:pt>
                <c:pt idx="26">
                  <c:v>42846</c:v>
                </c:pt>
                <c:pt idx="27">
                  <c:v>42853</c:v>
                </c:pt>
                <c:pt idx="28">
                  <c:v>42860</c:v>
                </c:pt>
                <c:pt idx="29">
                  <c:v>42867</c:v>
                </c:pt>
                <c:pt idx="30">
                  <c:v>42874</c:v>
                </c:pt>
                <c:pt idx="31">
                  <c:v>42881</c:v>
                </c:pt>
                <c:pt idx="32">
                  <c:v>42888</c:v>
                </c:pt>
                <c:pt idx="33">
                  <c:v>42895</c:v>
                </c:pt>
                <c:pt idx="34">
                  <c:v>42902</c:v>
                </c:pt>
                <c:pt idx="35">
                  <c:v>42909</c:v>
                </c:pt>
                <c:pt idx="36">
                  <c:v>42916</c:v>
                </c:pt>
                <c:pt idx="37">
                  <c:v>42923</c:v>
                </c:pt>
                <c:pt idx="38">
                  <c:v>42930</c:v>
                </c:pt>
                <c:pt idx="39">
                  <c:v>42937</c:v>
                </c:pt>
                <c:pt idx="40">
                  <c:v>42944</c:v>
                </c:pt>
                <c:pt idx="41">
                  <c:v>42951</c:v>
                </c:pt>
                <c:pt idx="42">
                  <c:v>42958</c:v>
                </c:pt>
                <c:pt idx="43">
                  <c:v>42965</c:v>
                </c:pt>
                <c:pt idx="44">
                  <c:v>42972</c:v>
                </c:pt>
                <c:pt idx="45">
                  <c:v>42979</c:v>
                </c:pt>
                <c:pt idx="46">
                  <c:v>42986</c:v>
                </c:pt>
                <c:pt idx="47">
                  <c:v>42993</c:v>
                </c:pt>
                <c:pt idx="48">
                  <c:v>43000</c:v>
                </c:pt>
                <c:pt idx="49">
                  <c:v>43007</c:v>
                </c:pt>
                <c:pt idx="50">
                  <c:v>43014</c:v>
                </c:pt>
                <c:pt idx="51">
                  <c:v>43021</c:v>
                </c:pt>
                <c:pt idx="52">
                  <c:v>43028</c:v>
                </c:pt>
                <c:pt idx="53">
                  <c:v>43035</c:v>
                </c:pt>
                <c:pt idx="54">
                  <c:v>43042</c:v>
                </c:pt>
                <c:pt idx="55">
                  <c:v>43049</c:v>
                </c:pt>
                <c:pt idx="56">
                  <c:v>43056</c:v>
                </c:pt>
                <c:pt idx="57">
                  <c:v>43063</c:v>
                </c:pt>
                <c:pt idx="58">
                  <c:v>43070</c:v>
                </c:pt>
                <c:pt idx="59">
                  <c:v>43077</c:v>
                </c:pt>
                <c:pt idx="60">
                  <c:v>43084</c:v>
                </c:pt>
                <c:pt idx="61">
                  <c:v>43091</c:v>
                </c:pt>
                <c:pt idx="62">
                  <c:v>43098</c:v>
                </c:pt>
                <c:pt idx="63">
                  <c:v>43105</c:v>
                </c:pt>
                <c:pt idx="64">
                  <c:v>43112</c:v>
                </c:pt>
                <c:pt idx="65">
                  <c:v>43119</c:v>
                </c:pt>
                <c:pt idx="66">
                  <c:v>43126</c:v>
                </c:pt>
                <c:pt idx="67">
                  <c:v>43133</c:v>
                </c:pt>
                <c:pt idx="68">
                  <c:v>43140</c:v>
                </c:pt>
                <c:pt idx="69">
                  <c:v>43147</c:v>
                </c:pt>
                <c:pt idx="70">
                  <c:v>43154</c:v>
                </c:pt>
                <c:pt idx="71">
                  <c:v>43161</c:v>
                </c:pt>
                <c:pt idx="72">
                  <c:v>43168</c:v>
                </c:pt>
                <c:pt idx="73">
                  <c:v>43175</c:v>
                </c:pt>
                <c:pt idx="74">
                  <c:v>43182</c:v>
                </c:pt>
                <c:pt idx="75">
                  <c:v>43189</c:v>
                </c:pt>
                <c:pt idx="76">
                  <c:v>43196</c:v>
                </c:pt>
                <c:pt idx="77">
                  <c:v>43203</c:v>
                </c:pt>
                <c:pt idx="78">
                  <c:v>43210</c:v>
                </c:pt>
                <c:pt idx="79">
                  <c:v>43217</c:v>
                </c:pt>
                <c:pt idx="80">
                  <c:v>43224</c:v>
                </c:pt>
                <c:pt idx="81">
                  <c:v>43231</c:v>
                </c:pt>
                <c:pt idx="82">
                  <c:v>43238</c:v>
                </c:pt>
                <c:pt idx="83">
                  <c:v>43245</c:v>
                </c:pt>
                <c:pt idx="84">
                  <c:v>43252</c:v>
                </c:pt>
                <c:pt idx="85">
                  <c:v>43259</c:v>
                </c:pt>
                <c:pt idx="86">
                  <c:v>43266</c:v>
                </c:pt>
                <c:pt idx="87">
                  <c:v>43273</c:v>
                </c:pt>
                <c:pt idx="88">
                  <c:v>43280</c:v>
                </c:pt>
                <c:pt idx="89">
                  <c:v>43287</c:v>
                </c:pt>
                <c:pt idx="90">
                  <c:v>43294</c:v>
                </c:pt>
                <c:pt idx="91">
                  <c:v>43301</c:v>
                </c:pt>
                <c:pt idx="92">
                  <c:v>43308</c:v>
                </c:pt>
                <c:pt idx="93">
                  <c:v>43315</c:v>
                </c:pt>
                <c:pt idx="94">
                  <c:v>43322</c:v>
                </c:pt>
                <c:pt idx="95">
                  <c:v>43329</c:v>
                </c:pt>
                <c:pt idx="96">
                  <c:v>43336</c:v>
                </c:pt>
                <c:pt idx="97">
                  <c:v>43343</c:v>
                </c:pt>
                <c:pt idx="98">
                  <c:v>43350</c:v>
                </c:pt>
                <c:pt idx="99">
                  <c:v>43357</c:v>
                </c:pt>
                <c:pt idx="100">
                  <c:v>43364</c:v>
                </c:pt>
                <c:pt idx="101">
                  <c:v>43371</c:v>
                </c:pt>
                <c:pt idx="102">
                  <c:v>43378</c:v>
                </c:pt>
                <c:pt idx="103">
                  <c:v>43385</c:v>
                </c:pt>
                <c:pt idx="104">
                  <c:v>43392</c:v>
                </c:pt>
                <c:pt idx="105">
                  <c:v>43399</c:v>
                </c:pt>
                <c:pt idx="106">
                  <c:v>43406</c:v>
                </c:pt>
                <c:pt idx="107">
                  <c:v>43413</c:v>
                </c:pt>
                <c:pt idx="108">
                  <c:v>43420</c:v>
                </c:pt>
                <c:pt idx="109">
                  <c:v>43427</c:v>
                </c:pt>
                <c:pt idx="110">
                  <c:v>43434</c:v>
                </c:pt>
                <c:pt idx="111">
                  <c:v>43441</c:v>
                </c:pt>
                <c:pt idx="112">
                  <c:v>43448</c:v>
                </c:pt>
                <c:pt idx="113">
                  <c:v>43455</c:v>
                </c:pt>
                <c:pt idx="114">
                  <c:v>43462</c:v>
                </c:pt>
                <c:pt idx="115">
                  <c:v>43469</c:v>
                </c:pt>
                <c:pt idx="116">
                  <c:v>43476</c:v>
                </c:pt>
                <c:pt idx="117">
                  <c:v>43483</c:v>
                </c:pt>
                <c:pt idx="118">
                  <c:v>43490</c:v>
                </c:pt>
                <c:pt idx="119">
                  <c:v>43497</c:v>
                </c:pt>
                <c:pt idx="120">
                  <c:v>43504</c:v>
                </c:pt>
                <c:pt idx="121">
                  <c:v>43511</c:v>
                </c:pt>
                <c:pt idx="122">
                  <c:v>43518</c:v>
                </c:pt>
                <c:pt idx="123">
                  <c:v>43525</c:v>
                </c:pt>
                <c:pt idx="124">
                  <c:v>43532</c:v>
                </c:pt>
                <c:pt idx="125">
                  <c:v>43539</c:v>
                </c:pt>
                <c:pt idx="126">
                  <c:v>43546</c:v>
                </c:pt>
                <c:pt idx="127">
                  <c:v>43553</c:v>
                </c:pt>
                <c:pt idx="128">
                  <c:v>43560</c:v>
                </c:pt>
                <c:pt idx="129">
                  <c:v>43567</c:v>
                </c:pt>
                <c:pt idx="130">
                  <c:v>43574</c:v>
                </c:pt>
                <c:pt idx="131">
                  <c:v>43581</c:v>
                </c:pt>
                <c:pt idx="132">
                  <c:v>43588</c:v>
                </c:pt>
                <c:pt idx="133">
                  <c:v>43595</c:v>
                </c:pt>
                <c:pt idx="134">
                  <c:v>43602</c:v>
                </c:pt>
                <c:pt idx="135">
                  <c:v>43609</c:v>
                </c:pt>
                <c:pt idx="136">
                  <c:v>43616</c:v>
                </c:pt>
                <c:pt idx="137">
                  <c:v>43623</c:v>
                </c:pt>
                <c:pt idx="138">
                  <c:v>43630</c:v>
                </c:pt>
                <c:pt idx="139">
                  <c:v>43637</c:v>
                </c:pt>
                <c:pt idx="140">
                  <c:v>43644</c:v>
                </c:pt>
                <c:pt idx="141">
                  <c:v>43651</c:v>
                </c:pt>
                <c:pt idx="142">
                  <c:v>43658</c:v>
                </c:pt>
                <c:pt idx="143">
                  <c:v>43665</c:v>
                </c:pt>
                <c:pt idx="144">
                  <c:v>43672</c:v>
                </c:pt>
                <c:pt idx="145">
                  <c:v>43679</c:v>
                </c:pt>
                <c:pt idx="146">
                  <c:v>43686</c:v>
                </c:pt>
                <c:pt idx="147">
                  <c:v>43693</c:v>
                </c:pt>
                <c:pt idx="148">
                  <c:v>43700</c:v>
                </c:pt>
                <c:pt idx="149">
                  <c:v>43707</c:v>
                </c:pt>
                <c:pt idx="150">
                  <c:v>43714</c:v>
                </c:pt>
                <c:pt idx="151">
                  <c:v>43721</c:v>
                </c:pt>
                <c:pt idx="152">
                  <c:v>43728</c:v>
                </c:pt>
                <c:pt idx="153">
                  <c:v>43735</c:v>
                </c:pt>
                <c:pt idx="154">
                  <c:v>43742</c:v>
                </c:pt>
                <c:pt idx="155">
                  <c:v>43749</c:v>
                </c:pt>
                <c:pt idx="156">
                  <c:v>43756</c:v>
                </c:pt>
                <c:pt idx="157">
                  <c:v>43763</c:v>
                </c:pt>
                <c:pt idx="158">
                  <c:v>43770</c:v>
                </c:pt>
                <c:pt idx="159">
                  <c:v>43777</c:v>
                </c:pt>
                <c:pt idx="160">
                  <c:v>43784</c:v>
                </c:pt>
                <c:pt idx="161">
                  <c:v>43791</c:v>
                </c:pt>
                <c:pt idx="162">
                  <c:v>43798</c:v>
                </c:pt>
                <c:pt idx="163">
                  <c:v>43805</c:v>
                </c:pt>
                <c:pt idx="164">
                  <c:v>43812</c:v>
                </c:pt>
                <c:pt idx="165">
                  <c:v>43819</c:v>
                </c:pt>
                <c:pt idx="166">
                  <c:v>43826</c:v>
                </c:pt>
                <c:pt idx="167">
                  <c:v>43833</c:v>
                </c:pt>
                <c:pt idx="168">
                  <c:v>43840</c:v>
                </c:pt>
                <c:pt idx="169">
                  <c:v>43847</c:v>
                </c:pt>
                <c:pt idx="170">
                  <c:v>43854</c:v>
                </c:pt>
                <c:pt idx="171">
                  <c:v>43861</c:v>
                </c:pt>
                <c:pt idx="172">
                  <c:v>43868</c:v>
                </c:pt>
                <c:pt idx="173">
                  <c:v>43875</c:v>
                </c:pt>
                <c:pt idx="174">
                  <c:v>43882</c:v>
                </c:pt>
                <c:pt idx="175">
                  <c:v>43889</c:v>
                </c:pt>
                <c:pt idx="176">
                  <c:v>43896</c:v>
                </c:pt>
                <c:pt idx="177">
                  <c:v>43903</c:v>
                </c:pt>
                <c:pt idx="178">
                  <c:v>43910</c:v>
                </c:pt>
                <c:pt idx="179">
                  <c:v>43917</c:v>
                </c:pt>
                <c:pt idx="180">
                  <c:v>43924</c:v>
                </c:pt>
                <c:pt idx="181">
                  <c:v>43931</c:v>
                </c:pt>
                <c:pt idx="182">
                  <c:v>43938</c:v>
                </c:pt>
                <c:pt idx="183">
                  <c:v>43945</c:v>
                </c:pt>
                <c:pt idx="184">
                  <c:v>43952</c:v>
                </c:pt>
                <c:pt idx="185">
                  <c:v>43959</c:v>
                </c:pt>
                <c:pt idx="186">
                  <c:v>43966</c:v>
                </c:pt>
                <c:pt idx="187">
                  <c:v>43973</c:v>
                </c:pt>
                <c:pt idx="188">
                  <c:v>43980</c:v>
                </c:pt>
                <c:pt idx="189">
                  <c:v>43987</c:v>
                </c:pt>
                <c:pt idx="190">
                  <c:v>43994</c:v>
                </c:pt>
                <c:pt idx="191">
                  <c:v>44001</c:v>
                </c:pt>
                <c:pt idx="192">
                  <c:v>44008</c:v>
                </c:pt>
                <c:pt idx="193">
                  <c:v>44015</c:v>
                </c:pt>
                <c:pt idx="194">
                  <c:v>44022</c:v>
                </c:pt>
                <c:pt idx="195">
                  <c:v>44029</c:v>
                </c:pt>
                <c:pt idx="196">
                  <c:v>44036</c:v>
                </c:pt>
                <c:pt idx="197">
                  <c:v>44043</c:v>
                </c:pt>
                <c:pt idx="198">
                  <c:v>44050</c:v>
                </c:pt>
                <c:pt idx="199">
                  <c:v>44057</c:v>
                </c:pt>
                <c:pt idx="200">
                  <c:v>44064</c:v>
                </c:pt>
                <c:pt idx="201">
                  <c:v>44071</c:v>
                </c:pt>
                <c:pt idx="202">
                  <c:v>44078</c:v>
                </c:pt>
                <c:pt idx="203">
                  <c:v>44085</c:v>
                </c:pt>
                <c:pt idx="204">
                  <c:v>44092</c:v>
                </c:pt>
                <c:pt idx="205">
                  <c:v>44099</c:v>
                </c:pt>
                <c:pt idx="206">
                  <c:v>44106</c:v>
                </c:pt>
                <c:pt idx="207">
                  <c:v>44113</c:v>
                </c:pt>
                <c:pt idx="208">
                  <c:v>44120</c:v>
                </c:pt>
                <c:pt idx="209">
                  <c:v>44127</c:v>
                </c:pt>
                <c:pt idx="210">
                  <c:v>44134</c:v>
                </c:pt>
                <c:pt idx="211">
                  <c:v>44141</c:v>
                </c:pt>
                <c:pt idx="212">
                  <c:v>44148</c:v>
                </c:pt>
                <c:pt idx="213">
                  <c:v>44155</c:v>
                </c:pt>
                <c:pt idx="214">
                  <c:v>44162</c:v>
                </c:pt>
                <c:pt idx="215">
                  <c:v>44169</c:v>
                </c:pt>
                <c:pt idx="216">
                  <c:v>44176</c:v>
                </c:pt>
                <c:pt idx="217">
                  <c:v>44183</c:v>
                </c:pt>
                <c:pt idx="218">
                  <c:v>44190</c:v>
                </c:pt>
                <c:pt idx="219">
                  <c:v>44197</c:v>
                </c:pt>
                <c:pt idx="220">
                  <c:v>44204</c:v>
                </c:pt>
                <c:pt idx="221">
                  <c:v>44211</c:v>
                </c:pt>
                <c:pt idx="222">
                  <c:v>44218</c:v>
                </c:pt>
                <c:pt idx="223">
                  <c:v>44225</c:v>
                </c:pt>
                <c:pt idx="224">
                  <c:v>44232</c:v>
                </c:pt>
                <c:pt idx="225">
                  <c:v>44239</c:v>
                </c:pt>
                <c:pt idx="226">
                  <c:v>44246</c:v>
                </c:pt>
                <c:pt idx="227">
                  <c:v>44253</c:v>
                </c:pt>
                <c:pt idx="228">
                  <c:v>44260</c:v>
                </c:pt>
                <c:pt idx="229">
                  <c:v>44267</c:v>
                </c:pt>
                <c:pt idx="230">
                  <c:v>44274</c:v>
                </c:pt>
                <c:pt idx="231">
                  <c:v>44281</c:v>
                </c:pt>
                <c:pt idx="232">
                  <c:v>44288</c:v>
                </c:pt>
                <c:pt idx="233">
                  <c:v>44295</c:v>
                </c:pt>
                <c:pt idx="234">
                  <c:v>44302</c:v>
                </c:pt>
                <c:pt idx="235">
                  <c:v>44309</c:v>
                </c:pt>
                <c:pt idx="236">
                  <c:v>44316</c:v>
                </c:pt>
                <c:pt idx="237">
                  <c:v>44323</c:v>
                </c:pt>
                <c:pt idx="238">
                  <c:v>44330</c:v>
                </c:pt>
                <c:pt idx="239">
                  <c:v>44337</c:v>
                </c:pt>
                <c:pt idx="240">
                  <c:v>44344</c:v>
                </c:pt>
                <c:pt idx="241">
                  <c:v>44351</c:v>
                </c:pt>
                <c:pt idx="242">
                  <c:v>44358</c:v>
                </c:pt>
                <c:pt idx="243">
                  <c:v>44365</c:v>
                </c:pt>
                <c:pt idx="244">
                  <c:v>44372</c:v>
                </c:pt>
                <c:pt idx="245">
                  <c:v>44379</c:v>
                </c:pt>
                <c:pt idx="246">
                  <c:v>44386</c:v>
                </c:pt>
                <c:pt idx="247">
                  <c:v>44393</c:v>
                </c:pt>
                <c:pt idx="248">
                  <c:v>44400</c:v>
                </c:pt>
                <c:pt idx="249">
                  <c:v>44407</c:v>
                </c:pt>
                <c:pt idx="250">
                  <c:v>44414</c:v>
                </c:pt>
                <c:pt idx="251">
                  <c:v>44421</c:v>
                </c:pt>
                <c:pt idx="252">
                  <c:v>44428</c:v>
                </c:pt>
                <c:pt idx="253">
                  <c:v>44435</c:v>
                </c:pt>
                <c:pt idx="254">
                  <c:v>44442</c:v>
                </c:pt>
                <c:pt idx="255">
                  <c:v>44449</c:v>
                </c:pt>
                <c:pt idx="256">
                  <c:v>44456</c:v>
                </c:pt>
                <c:pt idx="257">
                  <c:v>44463</c:v>
                </c:pt>
                <c:pt idx="258">
                  <c:v>44470</c:v>
                </c:pt>
                <c:pt idx="259">
                  <c:v>44477</c:v>
                </c:pt>
                <c:pt idx="260">
                  <c:v>44484</c:v>
                </c:pt>
                <c:pt idx="261">
                  <c:v>44491</c:v>
                </c:pt>
                <c:pt idx="262">
                  <c:v>44498</c:v>
                </c:pt>
                <c:pt idx="263">
                  <c:v>44505</c:v>
                </c:pt>
                <c:pt idx="264">
                  <c:v>44512</c:v>
                </c:pt>
                <c:pt idx="265">
                  <c:v>44519</c:v>
                </c:pt>
                <c:pt idx="266">
                  <c:v>44526</c:v>
                </c:pt>
                <c:pt idx="267">
                  <c:v>44533</c:v>
                </c:pt>
                <c:pt idx="268">
                  <c:v>44540</c:v>
                </c:pt>
                <c:pt idx="269">
                  <c:v>44547</c:v>
                </c:pt>
                <c:pt idx="270">
                  <c:v>44554</c:v>
                </c:pt>
                <c:pt idx="271">
                  <c:v>44561</c:v>
                </c:pt>
                <c:pt idx="272">
                  <c:v>44568</c:v>
                </c:pt>
                <c:pt idx="273">
                  <c:v>44575</c:v>
                </c:pt>
                <c:pt idx="274">
                  <c:v>44582</c:v>
                </c:pt>
                <c:pt idx="275">
                  <c:v>44589</c:v>
                </c:pt>
                <c:pt idx="276">
                  <c:v>44596</c:v>
                </c:pt>
                <c:pt idx="277">
                  <c:v>44603</c:v>
                </c:pt>
                <c:pt idx="278">
                  <c:v>44610</c:v>
                </c:pt>
                <c:pt idx="279">
                  <c:v>44617</c:v>
                </c:pt>
                <c:pt idx="280">
                  <c:v>44624</c:v>
                </c:pt>
                <c:pt idx="281">
                  <c:v>44631</c:v>
                </c:pt>
                <c:pt idx="282">
                  <c:v>44638</c:v>
                </c:pt>
                <c:pt idx="283">
                  <c:v>44645</c:v>
                </c:pt>
                <c:pt idx="284">
                  <c:v>44652</c:v>
                </c:pt>
                <c:pt idx="285">
                  <c:v>44659</c:v>
                </c:pt>
                <c:pt idx="286">
                  <c:v>44666</c:v>
                </c:pt>
                <c:pt idx="287">
                  <c:v>44673</c:v>
                </c:pt>
                <c:pt idx="288">
                  <c:v>44680</c:v>
                </c:pt>
                <c:pt idx="289">
                  <c:v>44687</c:v>
                </c:pt>
                <c:pt idx="290">
                  <c:v>44694</c:v>
                </c:pt>
                <c:pt idx="291">
                  <c:v>44701</c:v>
                </c:pt>
                <c:pt idx="292">
                  <c:v>44708</c:v>
                </c:pt>
                <c:pt idx="293">
                  <c:v>44715</c:v>
                </c:pt>
                <c:pt idx="294">
                  <c:v>44722</c:v>
                </c:pt>
                <c:pt idx="295">
                  <c:v>44729</c:v>
                </c:pt>
                <c:pt idx="296">
                  <c:v>44736</c:v>
                </c:pt>
                <c:pt idx="297">
                  <c:v>44743</c:v>
                </c:pt>
                <c:pt idx="298">
                  <c:v>44750</c:v>
                </c:pt>
                <c:pt idx="299">
                  <c:v>44757</c:v>
                </c:pt>
                <c:pt idx="300">
                  <c:v>44764</c:v>
                </c:pt>
                <c:pt idx="301">
                  <c:v>44771</c:v>
                </c:pt>
                <c:pt idx="302">
                  <c:v>44778</c:v>
                </c:pt>
                <c:pt idx="303">
                  <c:v>44785</c:v>
                </c:pt>
                <c:pt idx="304">
                  <c:v>44792</c:v>
                </c:pt>
                <c:pt idx="305">
                  <c:v>44799</c:v>
                </c:pt>
                <c:pt idx="306">
                  <c:v>44806</c:v>
                </c:pt>
                <c:pt idx="307">
                  <c:v>44813</c:v>
                </c:pt>
                <c:pt idx="308">
                  <c:v>44820</c:v>
                </c:pt>
                <c:pt idx="309">
                  <c:v>44827</c:v>
                </c:pt>
                <c:pt idx="310">
                  <c:v>44834</c:v>
                </c:pt>
                <c:pt idx="311">
                  <c:v>44841</c:v>
                </c:pt>
                <c:pt idx="312">
                  <c:v>44848</c:v>
                </c:pt>
                <c:pt idx="313">
                  <c:v>44855</c:v>
                </c:pt>
                <c:pt idx="314">
                  <c:v>44862</c:v>
                </c:pt>
                <c:pt idx="315">
                  <c:v>44869</c:v>
                </c:pt>
                <c:pt idx="316">
                  <c:v>44876</c:v>
                </c:pt>
                <c:pt idx="317">
                  <c:v>44883</c:v>
                </c:pt>
                <c:pt idx="318">
                  <c:v>44890</c:v>
                </c:pt>
                <c:pt idx="319">
                  <c:v>44897</c:v>
                </c:pt>
                <c:pt idx="320">
                  <c:v>44904</c:v>
                </c:pt>
                <c:pt idx="321">
                  <c:v>44911</c:v>
                </c:pt>
                <c:pt idx="322">
                  <c:v>44918</c:v>
                </c:pt>
                <c:pt idx="323">
                  <c:v>44925</c:v>
                </c:pt>
                <c:pt idx="324">
                  <c:v>44932</c:v>
                </c:pt>
                <c:pt idx="325">
                  <c:v>44939</c:v>
                </c:pt>
                <c:pt idx="326">
                  <c:v>44946</c:v>
                </c:pt>
                <c:pt idx="327">
                  <c:v>44953</c:v>
                </c:pt>
                <c:pt idx="328">
                  <c:v>44960</c:v>
                </c:pt>
                <c:pt idx="329">
                  <c:v>44967</c:v>
                </c:pt>
                <c:pt idx="330">
                  <c:v>44974</c:v>
                </c:pt>
                <c:pt idx="331">
                  <c:v>44981</c:v>
                </c:pt>
                <c:pt idx="332">
                  <c:v>44988</c:v>
                </c:pt>
                <c:pt idx="333">
                  <c:v>44995</c:v>
                </c:pt>
                <c:pt idx="334">
                  <c:v>45002</c:v>
                </c:pt>
                <c:pt idx="335">
                  <c:v>45009</c:v>
                </c:pt>
                <c:pt idx="336">
                  <c:v>45016</c:v>
                </c:pt>
                <c:pt idx="337">
                  <c:v>45023</c:v>
                </c:pt>
                <c:pt idx="338">
                  <c:v>45030</c:v>
                </c:pt>
                <c:pt idx="339">
                  <c:v>45037</c:v>
                </c:pt>
                <c:pt idx="340">
                  <c:v>45044</c:v>
                </c:pt>
                <c:pt idx="341">
                  <c:v>45051</c:v>
                </c:pt>
                <c:pt idx="342">
                  <c:v>45058</c:v>
                </c:pt>
                <c:pt idx="343">
                  <c:v>45065</c:v>
                </c:pt>
                <c:pt idx="344">
                  <c:v>45072</c:v>
                </c:pt>
                <c:pt idx="345">
                  <c:v>45079</c:v>
                </c:pt>
                <c:pt idx="346">
                  <c:v>45086</c:v>
                </c:pt>
                <c:pt idx="347">
                  <c:v>45093</c:v>
                </c:pt>
                <c:pt idx="348">
                  <c:v>45100</c:v>
                </c:pt>
                <c:pt idx="349">
                  <c:v>45107</c:v>
                </c:pt>
                <c:pt idx="350">
                  <c:v>45114</c:v>
                </c:pt>
                <c:pt idx="351">
                  <c:v>45121</c:v>
                </c:pt>
                <c:pt idx="352">
                  <c:v>45128</c:v>
                </c:pt>
                <c:pt idx="353">
                  <c:v>45135</c:v>
                </c:pt>
                <c:pt idx="354">
                  <c:v>45142</c:v>
                </c:pt>
                <c:pt idx="355">
                  <c:v>45149</c:v>
                </c:pt>
                <c:pt idx="356">
                  <c:v>45156</c:v>
                </c:pt>
                <c:pt idx="357">
                  <c:v>45163</c:v>
                </c:pt>
                <c:pt idx="358">
                  <c:v>45170</c:v>
                </c:pt>
                <c:pt idx="359">
                  <c:v>45177</c:v>
                </c:pt>
                <c:pt idx="360">
                  <c:v>45184</c:v>
                </c:pt>
                <c:pt idx="361">
                  <c:v>45191</c:v>
                </c:pt>
                <c:pt idx="362">
                  <c:v>45198</c:v>
                </c:pt>
                <c:pt idx="363">
                  <c:v>45205</c:v>
                </c:pt>
                <c:pt idx="364">
                  <c:v>45212</c:v>
                </c:pt>
                <c:pt idx="365">
                  <c:v>45219</c:v>
                </c:pt>
                <c:pt idx="366">
                  <c:v>45226</c:v>
                </c:pt>
                <c:pt idx="367">
                  <c:v>45233</c:v>
                </c:pt>
                <c:pt idx="368">
                  <c:v>45240</c:v>
                </c:pt>
                <c:pt idx="369">
                  <c:v>45247</c:v>
                </c:pt>
                <c:pt idx="370">
                  <c:v>45254</c:v>
                </c:pt>
                <c:pt idx="371">
                  <c:v>45261</c:v>
                </c:pt>
                <c:pt idx="372">
                  <c:v>45268</c:v>
                </c:pt>
                <c:pt idx="373">
                  <c:v>45275</c:v>
                </c:pt>
                <c:pt idx="374">
                  <c:v>45282</c:v>
                </c:pt>
                <c:pt idx="375">
                  <c:v>45289</c:v>
                </c:pt>
                <c:pt idx="376">
                  <c:v>45296</c:v>
                </c:pt>
                <c:pt idx="377">
                  <c:v>45303</c:v>
                </c:pt>
                <c:pt idx="378">
                  <c:v>45310</c:v>
                </c:pt>
                <c:pt idx="379">
                  <c:v>45317</c:v>
                </c:pt>
                <c:pt idx="380">
                  <c:v>45324</c:v>
                </c:pt>
                <c:pt idx="381">
                  <c:v>45331</c:v>
                </c:pt>
                <c:pt idx="382">
                  <c:v>45338</c:v>
                </c:pt>
                <c:pt idx="383">
                  <c:v>45345</c:v>
                </c:pt>
                <c:pt idx="384">
                  <c:v>45352</c:v>
                </c:pt>
                <c:pt idx="385">
                  <c:v>45359</c:v>
                </c:pt>
                <c:pt idx="386">
                  <c:v>45366</c:v>
                </c:pt>
                <c:pt idx="387">
                  <c:v>45373</c:v>
                </c:pt>
                <c:pt idx="388">
                  <c:v>45380</c:v>
                </c:pt>
                <c:pt idx="389">
                  <c:v>45387</c:v>
                </c:pt>
                <c:pt idx="390">
                  <c:v>45394</c:v>
                </c:pt>
                <c:pt idx="391">
                  <c:v>45401</c:v>
                </c:pt>
                <c:pt idx="392">
                  <c:v>45408</c:v>
                </c:pt>
                <c:pt idx="393">
                  <c:v>45415</c:v>
                </c:pt>
                <c:pt idx="394">
                  <c:v>45422</c:v>
                </c:pt>
                <c:pt idx="395">
                  <c:v>45429</c:v>
                </c:pt>
                <c:pt idx="396">
                  <c:v>45436</c:v>
                </c:pt>
                <c:pt idx="397">
                  <c:v>45443</c:v>
                </c:pt>
                <c:pt idx="398">
                  <c:v>45450</c:v>
                </c:pt>
                <c:pt idx="399">
                  <c:v>45457</c:v>
                </c:pt>
                <c:pt idx="400">
                  <c:v>45464</c:v>
                </c:pt>
                <c:pt idx="401">
                  <c:v>45471</c:v>
                </c:pt>
                <c:pt idx="402">
                  <c:v>45478</c:v>
                </c:pt>
                <c:pt idx="403">
                  <c:v>45485</c:v>
                </c:pt>
                <c:pt idx="404">
                  <c:v>45492</c:v>
                </c:pt>
                <c:pt idx="405">
                  <c:v>45499</c:v>
                </c:pt>
                <c:pt idx="406">
                  <c:v>45506</c:v>
                </c:pt>
                <c:pt idx="407">
                  <c:v>45513</c:v>
                </c:pt>
                <c:pt idx="408">
                  <c:v>45520</c:v>
                </c:pt>
                <c:pt idx="409">
                  <c:v>45527</c:v>
                </c:pt>
                <c:pt idx="410">
                  <c:v>45534</c:v>
                </c:pt>
                <c:pt idx="411">
                  <c:v>45541</c:v>
                </c:pt>
                <c:pt idx="412">
                  <c:v>45548</c:v>
                </c:pt>
                <c:pt idx="413">
                  <c:v>45555</c:v>
                </c:pt>
                <c:pt idx="414">
                  <c:v>45562</c:v>
                </c:pt>
                <c:pt idx="415">
                  <c:v>45569</c:v>
                </c:pt>
                <c:pt idx="416">
                  <c:v>45576</c:v>
                </c:pt>
                <c:pt idx="417">
                  <c:v>45583</c:v>
                </c:pt>
                <c:pt idx="418">
                  <c:v>45590</c:v>
                </c:pt>
                <c:pt idx="419">
                  <c:v>45597</c:v>
                </c:pt>
                <c:pt idx="420">
                  <c:v>45604</c:v>
                </c:pt>
                <c:pt idx="421">
                  <c:v>45611</c:v>
                </c:pt>
                <c:pt idx="422">
                  <c:v>45618</c:v>
                </c:pt>
                <c:pt idx="423">
                  <c:v>45625</c:v>
                </c:pt>
                <c:pt idx="424">
                  <c:v>45632</c:v>
                </c:pt>
                <c:pt idx="425">
                  <c:v>45639</c:v>
                </c:pt>
                <c:pt idx="426">
                  <c:v>45646</c:v>
                </c:pt>
                <c:pt idx="427">
                  <c:v>45653</c:v>
                </c:pt>
                <c:pt idx="428">
                  <c:v>45660</c:v>
                </c:pt>
                <c:pt idx="429">
                  <c:v>45667</c:v>
                </c:pt>
                <c:pt idx="430">
                  <c:v>45674</c:v>
                </c:pt>
                <c:pt idx="431">
                  <c:v>45681</c:v>
                </c:pt>
                <c:pt idx="432">
                  <c:v>45688</c:v>
                </c:pt>
                <c:pt idx="433">
                  <c:v>45695</c:v>
                </c:pt>
                <c:pt idx="434">
                  <c:v>45702</c:v>
                </c:pt>
                <c:pt idx="435">
                  <c:v>45709</c:v>
                </c:pt>
                <c:pt idx="436">
                  <c:v>45716</c:v>
                </c:pt>
                <c:pt idx="437">
                  <c:v>45723</c:v>
                </c:pt>
                <c:pt idx="438">
                  <c:v>45730</c:v>
                </c:pt>
                <c:pt idx="439">
                  <c:v>45737</c:v>
                </c:pt>
                <c:pt idx="440">
                  <c:v>45744</c:v>
                </c:pt>
                <c:pt idx="441">
                  <c:v>45751</c:v>
                </c:pt>
                <c:pt idx="442">
                  <c:v>45758</c:v>
                </c:pt>
                <c:pt idx="443">
                  <c:v>45765</c:v>
                </c:pt>
                <c:pt idx="444">
                  <c:v>45772</c:v>
                </c:pt>
                <c:pt idx="445">
                  <c:v>45779</c:v>
                </c:pt>
                <c:pt idx="446">
                  <c:v>45786</c:v>
                </c:pt>
                <c:pt idx="447">
                  <c:v>45793</c:v>
                </c:pt>
                <c:pt idx="448">
                  <c:v>45800</c:v>
                </c:pt>
                <c:pt idx="449">
                  <c:v>45807</c:v>
                </c:pt>
                <c:pt idx="450">
                  <c:v>45814</c:v>
                </c:pt>
                <c:pt idx="451">
                  <c:v>45821</c:v>
                </c:pt>
                <c:pt idx="452">
                  <c:v>45828</c:v>
                </c:pt>
                <c:pt idx="453">
                  <c:v>45835</c:v>
                </c:pt>
                <c:pt idx="454">
                  <c:v>45842</c:v>
                </c:pt>
                <c:pt idx="455">
                  <c:v>45849</c:v>
                </c:pt>
                <c:pt idx="456">
                  <c:v>45856</c:v>
                </c:pt>
                <c:pt idx="457">
                  <c:v>45863</c:v>
                </c:pt>
                <c:pt idx="458">
                  <c:v>45870</c:v>
                </c:pt>
                <c:pt idx="459">
                  <c:v>45877</c:v>
                </c:pt>
                <c:pt idx="460">
                  <c:v>45884</c:v>
                </c:pt>
                <c:pt idx="461">
                  <c:v>45891</c:v>
                </c:pt>
                <c:pt idx="462">
                  <c:v>45898</c:v>
                </c:pt>
                <c:pt idx="463">
                  <c:v>45905</c:v>
                </c:pt>
                <c:pt idx="464">
                  <c:v>45912</c:v>
                </c:pt>
                <c:pt idx="465">
                  <c:v>45919</c:v>
                </c:pt>
                <c:pt idx="466">
                  <c:v>45926</c:v>
                </c:pt>
                <c:pt idx="467">
                  <c:v>45933</c:v>
                </c:pt>
                <c:pt idx="468">
                  <c:v>45940</c:v>
                </c:pt>
                <c:pt idx="469">
                  <c:v>45947</c:v>
                </c:pt>
                <c:pt idx="470">
                  <c:v>45954</c:v>
                </c:pt>
                <c:pt idx="471">
                  <c:v>45961</c:v>
                </c:pt>
                <c:pt idx="472">
                  <c:v>45968</c:v>
                </c:pt>
                <c:pt idx="473">
                  <c:v>45975</c:v>
                </c:pt>
                <c:pt idx="474">
                  <c:v>45982</c:v>
                </c:pt>
                <c:pt idx="475">
                  <c:v>45989</c:v>
                </c:pt>
                <c:pt idx="476">
                  <c:v>45996</c:v>
                </c:pt>
                <c:pt idx="477">
                  <c:v>46003</c:v>
                </c:pt>
                <c:pt idx="478">
                  <c:v>46010</c:v>
                </c:pt>
                <c:pt idx="479">
                  <c:v>46017</c:v>
                </c:pt>
                <c:pt idx="480">
                  <c:v>46024</c:v>
                </c:pt>
                <c:pt idx="481">
                  <c:v>46031</c:v>
                </c:pt>
                <c:pt idx="482">
                  <c:v>46038</c:v>
                </c:pt>
                <c:pt idx="483">
                  <c:v>46045</c:v>
                </c:pt>
                <c:pt idx="484">
                  <c:v>46052</c:v>
                </c:pt>
                <c:pt idx="485">
                  <c:v>46059</c:v>
                </c:pt>
                <c:pt idx="486">
                  <c:v>46066</c:v>
                </c:pt>
                <c:pt idx="487">
                  <c:v>46073</c:v>
                </c:pt>
                <c:pt idx="488">
                  <c:v>46080</c:v>
                </c:pt>
                <c:pt idx="489">
                  <c:v>46087</c:v>
                </c:pt>
                <c:pt idx="490">
                  <c:v>46094</c:v>
                </c:pt>
                <c:pt idx="491">
                  <c:v>46101</c:v>
                </c:pt>
                <c:pt idx="492">
                  <c:v>46108</c:v>
                </c:pt>
                <c:pt idx="493">
                  <c:v>46115</c:v>
                </c:pt>
                <c:pt idx="494">
                  <c:v>46122</c:v>
                </c:pt>
                <c:pt idx="495">
                  <c:v>46129</c:v>
                </c:pt>
                <c:pt idx="496">
                  <c:v>46136</c:v>
                </c:pt>
                <c:pt idx="497">
                  <c:v>46143</c:v>
                </c:pt>
                <c:pt idx="498">
                  <c:v>46150</c:v>
                </c:pt>
                <c:pt idx="499">
                  <c:v>46157</c:v>
                </c:pt>
                <c:pt idx="500">
                  <c:v>46164</c:v>
                </c:pt>
                <c:pt idx="501">
                  <c:v>46171</c:v>
                </c:pt>
                <c:pt idx="502">
                  <c:v>46178</c:v>
                </c:pt>
                <c:pt idx="503">
                  <c:v>46185</c:v>
                </c:pt>
                <c:pt idx="504">
                  <c:v>46192</c:v>
                </c:pt>
                <c:pt idx="505">
                  <c:v>46199</c:v>
                </c:pt>
                <c:pt idx="506">
                  <c:v>46206</c:v>
                </c:pt>
                <c:pt idx="507">
                  <c:v>46213</c:v>
                </c:pt>
                <c:pt idx="508">
                  <c:v>46220</c:v>
                </c:pt>
                <c:pt idx="509">
                  <c:v>46227</c:v>
                </c:pt>
                <c:pt idx="510">
                  <c:v>46234</c:v>
                </c:pt>
                <c:pt idx="511">
                  <c:v>46241</c:v>
                </c:pt>
                <c:pt idx="512">
                  <c:v>46248</c:v>
                </c:pt>
                <c:pt idx="513">
                  <c:v>46255</c:v>
                </c:pt>
                <c:pt idx="514">
                  <c:v>46262</c:v>
                </c:pt>
                <c:pt idx="515">
                  <c:v>46269</c:v>
                </c:pt>
                <c:pt idx="516">
                  <c:v>46276</c:v>
                </c:pt>
                <c:pt idx="517">
                  <c:v>46283</c:v>
                </c:pt>
                <c:pt idx="518">
                  <c:v>46290</c:v>
                </c:pt>
                <c:pt idx="519">
                  <c:v>46297</c:v>
                </c:pt>
                <c:pt idx="520">
                  <c:v>46304</c:v>
                </c:pt>
              </c:numCache>
            </c:numRef>
          </c:cat>
          <c:val>
            <c:numRef>
              <c:f>Data!$Q$6:$Q$526</c:f>
              <c:numCache>
                <c:formatCode>0.0</c:formatCode>
                <c:ptCount val="521"/>
                <c:pt idx="0">
                  <c:v>100</c:v>
                </c:pt>
                <c:pt idx="1">
                  <c:v>101.43739365763071</c:v>
                </c:pt>
                <c:pt idx="2">
                  <c:v>98.883217672979086</c:v>
                </c:pt>
                <c:pt idx="3">
                  <c:v>100.58578412223757</c:v>
                </c:pt>
                <c:pt idx="4">
                  <c:v>101.74700566320735</c:v>
                </c:pt>
                <c:pt idx="5">
                  <c:v>103.17666687370999</c:v>
                </c:pt>
                <c:pt idx="6">
                  <c:v>100.57501759708254</c:v>
                </c:pt>
                <c:pt idx="7">
                  <c:v>102.14577263149415</c:v>
                </c:pt>
                <c:pt idx="8">
                  <c:v>101.72573747814594</c:v>
                </c:pt>
                <c:pt idx="9">
                  <c:v>102.24264137382124</c:v>
                </c:pt>
                <c:pt idx="10">
                  <c:v>101.54976244314734</c:v>
                </c:pt>
                <c:pt idx="11">
                  <c:v>102.82803108930895</c:v>
                </c:pt>
                <c:pt idx="12">
                  <c:v>102.3611610045664</c:v>
                </c:pt>
                <c:pt idx="13">
                  <c:v>102.77149868646818</c:v>
                </c:pt>
                <c:pt idx="14">
                  <c:v>104.13489955017775</c:v>
                </c:pt>
                <c:pt idx="15">
                  <c:v>103.61565691286314</c:v>
                </c:pt>
                <c:pt idx="16">
                  <c:v>102.59927270787865</c:v>
                </c:pt>
                <c:pt idx="17">
                  <c:v>103.89874947158778</c:v>
                </c:pt>
                <c:pt idx="18">
                  <c:v>104.83980844227352</c:v>
                </c:pt>
                <c:pt idx="19">
                  <c:v>105.736583620655</c:v>
                </c:pt>
                <c:pt idx="20">
                  <c:v>106.62825795342626</c:v>
                </c:pt>
                <c:pt idx="21">
                  <c:v>107.41859026705349</c:v>
                </c:pt>
                <c:pt idx="22">
                  <c:v>106.67555609932138</c:v>
                </c:pt>
                <c:pt idx="23">
                  <c:v>106.97221717743744</c:v>
                </c:pt>
                <c:pt idx="24">
                  <c:v>107.30723402803757</c:v>
                </c:pt>
                <c:pt idx="25">
                  <c:v>106.21480022400893</c:v>
                </c:pt>
                <c:pt idx="26">
                  <c:v>107.67640874329201</c:v>
                </c:pt>
                <c:pt idx="27">
                  <c:v>107.2146925411367</c:v>
                </c:pt>
                <c:pt idx="28">
                  <c:v>108.03676849741659</c:v>
                </c:pt>
                <c:pt idx="29">
                  <c:v>108.2956077742335</c:v>
                </c:pt>
                <c:pt idx="30">
                  <c:v>108.56672748183955</c:v>
                </c:pt>
                <c:pt idx="31">
                  <c:v>110.76596069595513</c:v>
                </c:pt>
                <c:pt idx="32">
                  <c:v>111.36598322726496</c:v>
                </c:pt>
                <c:pt idx="33">
                  <c:v>110.33843303093066</c:v>
                </c:pt>
                <c:pt idx="34">
                  <c:v>109.99511931297313</c:v>
                </c:pt>
                <c:pt idx="35">
                  <c:v>109.85514162788961</c:v>
                </c:pt>
                <c:pt idx="36">
                  <c:v>108.122558335131</c:v>
                </c:pt>
                <c:pt idx="37">
                  <c:v>108.76268120018112</c:v>
                </c:pt>
                <c:pt idx="38">
                  <c:v>110.8065951885047</c:v>
                </c:pt>
                <c:pt idx="39">
                  <c:v>111.09232050940138</c:v>
                </c:pt>
                <c:pt idx="40">
                  <c:v>111.51813139050037</c:v>
                </c:pt>
                <c:pt idx="41">
                  <c:v>111.81155176724292</c:v>
                </c:pt>
                <c:pt idx="42">
                  <c:v>111.99578642690162</c:v>
                </c:pt>
                <c:pt idx="43">
                  <c:v>111.44684851417092</c:v>
                </c:pt>
                <c:pt idx="44">
                  <c:v>112.02404005761693</c:v>
                </c:pt>
                <c:pt idx="45">
                  <c:v>112.9372329625437</c:v>
                </c:pt>
                <c:pt idx="46">
                  <c:v>112.95835633903194</c:v>
                </c:pt>
                <c:pt idx="47">
                  <c:v>114.30365862976664</c:v>
                </c:pt>
                <c:pt idx="48">
                  <c:v>115.47286537017885</c:v>
                </c:pt>
                <c:pt idx="49">
                  <c:v>115.72795108744072</c:v>
                </c:pt>
                <c:pt idx="50">
                  <c:v>117.1357508854952</c:v>
                </c:pt>
                <c:pt idx="51">
                  <c:v>118.83569526614589</c:v>
                </c:pt>
                <c:pt idx="52">
                  <c:v>119.67300970347222</c:v>
                </c:pt>
                <c:pt idx="53">
                  <c:v>119.71740396471031</c:v>
                </c:pt>
                <c:pt idx="54">
                  <c:v>119.97803341184775</c:v>
                </c:pt>
                <c:pt idx="55">
                  <c:v>120.11910744924116</c:v>
                </c:pt>
                <c:pt idx="56">
                  <c:v>119.60483315289478</c:v>
                </c:pt>
                <c:pt idx="57">
                  <c:v>120.68664040774897</c:v>
                </c:pt>
                <c:pt idx="58">
                  <c:v>119.79088104791423</c:v>
                </c:pt>
                <c:pt idx="59">
                  <c:v>119.63531416828468</c:v>
                </c:pt>
                <c:pt idx="60">
                  <c:v>122.0575582129248</c:v>
                </c:pt>
                <c:pt idx="61">
                  <c:v>122.36527858829488</c:v>
                </c:pt>
                <c:pt idx="62">
                  <c:v>122.91265054626983</c:v>
                </c:pt>
                <c:pt idx="63">
                  <c:v>125.30733508664524</c:v>
                </c:pt>
                <c:pt idx="64">
                  <c:v>127.03205682476556</c:v>
                </c:pt>
                <c:pt idx="65">
                  <c:v>129.19761567430118</c:v>
                </c:pt>
                <c:pt idx="66">
                  <c:v>129.96165952156369</c:v>
                </c:pt>
                <c:pt idx="67">
                  <c:v>126.35759304825373</c:v>
                </c:pt>
                <c:pt idx="68">
                  <c:v>119.76283983163046</c:v>
                </c:pt>
                <c:pt idx="69">
                  <c:v>123.88854774314129</c:v>
                </c:pt>
                <c:pt idx="70">
                  <c:v>123.8950013268595</c:v>
                </c:pt>
                <c:pt idx="71">
                  <c:v>123.31045772430967</c:v>
                </c:pt>
                <c:pt idx="72">
                  <c:v>125.53425547571385</c:v>
                </c:pt>
                <c:pt idx="73">
                  <c:v>123.25994752373556</c:v>
                </c:pt>
                <c:pt idx="74">
                  <c:v>119.22650628940104</c:v>
                </c:pt>
                <c:pt idx="75">
                  <c:v>121.405189510592</c:v>
                </c:pt>
                <c:pt idx="76">
                  <c:v>120.00492729848048</c:v>
                </c:pt>
                <c:pt idx="77">
                  <c:v>121.97133925105392</c:v>
                </c:pt>
                <c:pt idx="78">
                  <c:v>120.75188836586661</c:v>
                </c:pt>
                <c:pt idx="79">
                  <c:v>119.92373694899881</c:v>
                </c:pt>
                <c:pt idx="80">
                  <c:v>119.39952414205324</c:v>
                </c:pt>
                <c:pt idx="81">
                  <c:v>121.52800657776643</c:v>
                </c:pt>
                <c:pt idx="82">
                  <c:v>121.77975910911988</c:v>
                </c:pt>
                <c:pt idx="83">
                  <c:v>122.4709539125481</c:v>
                </c:pt>
                <c:pt idx="84">
                  <c:v>124.33208870184612</c:v>
                </c:pt>
                <c:pt idx="85">
                  <c:v>125.66468928224549</c:v>
                </c:pt>
                <c:pt idx="86">
                  <c:v>125.22326817867042</c:v>
                </c:pt>
                <c:pt idx="87">
                  <c:v>122.62012597485024</c:v>
                </c:pt>
                <c:pt idx="88">
                  <c:v>122.28934013602917</c:v>
                </c:pt>
                <c:pt idx="89">
                  <c:v>124.14283964791933</c:v>
                </c:pt>
                <c:pt idx="90">
                  <c:v>126.16573630504044</c:v>
                </c:pt>
                <c:pt idx="91">
                  <c:v>126.8508410304968</c:v>
                </c:pt>
                <c:pt idx="92">
                  <c:v>126.8616158998843</c:v>
                </c:pt>
                <c:pt idx="93">
                  <c:v>127.14988397680717</c:v>
                </c:pt>
                <c:pt idx="94">
                  <c:v>125.30938488148763</c:v>
                </c:pt>
                <c:pt idx="95">
                  <c:v>126.32815579310316</c:v>
                </c:pt>
                <c:pt idx="96">
                  <c:v>126.81644440571452</c:v>
                </c:pt>
                <c:pt idx="97">
                  <c:v>125.2772967941882</c:v>
                </c:pt>
                <c:pt idx="98">
                  <c:v>125.33112581278407</c:v>
                </c:pt>
                <c:pt idx="99">
                  <c:v>124.68118145186149</c:v>
                </c:pt>
                <c:pt idx="100">
                  <c:v>127.08155968548506</c:v>
                </c:pt>
                <c:pt idx="101">
                  <c:v>126.07673513147265</c:v>
                </c:pt>
                <c:pt idx="102">
                  <c:v>124.25575499811735</c:v>
                </c:pt>
                <c:pt idx="103">
                  <c:v>121.35315889017907</c:v>
                </c:pt>
                <c:pt idx="104">
                  <c:v>121.78422604248813</c:v>
                </c:pt>
                <c:pt idx="105">
                  <c:v>117.20325097544762</c:v>
                </c:pt>
                <c:pt idx="106">
                  <c:v>120.64684159241585</c:v>
                </c:pt>
                <c:pt idx="107">
                  <c:v>123.16577584544173</c:v>
                </c:pt>
                <c:pt idx="108">
                  <c:v>123.83015774449052</c:v>
                </c:pt>
                <c:pt idx="109">
                  <c:v>121.49461243353407</c:v>
                </c:pt>
                <c:pt idx="110">
                  <c:v>124.95082936901186</c:v>
                </c:pt>
                <c:pt idx="111">
                  <c:v>120.06509913458065</c:v>
                </c:pt>
                <c:pt idx="112">
                  <c:v>121.25033770024794</c:v>
                </c:pt>
                <c:pt idx="113">
                  <c:v>116.51706725665345</c:v>
                </c:pt>
                <c:pt idx="114">
                  <c:v>118.00355991927582</c:v>
                </c:pt>
                <c:pt idx="115">
                  <c:v>118.31074517715544</c:v>
                </c:pt>
                <c:pt idx="116">
                  <c:v>121.18812793500143</c:v>
                </c:pt>
                <c:pt idx="117">
                  <c:v>122.05654450458061</c:v>
                </c:pt>
                <c:pt idx="118">
                  <c:v>124.09959166772413</c:v>
                </c:pt>
                <c:pt idx="119">
                  <c:v>124.61762512283724</c:v>
                </c:pt>
                <c:pt idx="120">
                  <c:v>126.9951225579107</c:v>
                </c:pt>
                <c:pt idx="121">
                  <c:v>124.84900087999547</c:v>
                </c:pt>
                <c:pt idx="122">
                  <c:v>124.80417712020846</c:v>
                </c:pt>
                <c:pt idx="123">
                  <c:v>124.80217232403884</c:v>
                </c:pt>
                <c:pt idx="124">
                  <c:v>123.14659274789862</c:v>
                </c:pt>
                <c:pt idx="125">
                  <c:v>125.66802098558061</c:v>
                </c:pt>
                <c:pt idx="126">
                  <c:v>125.82942305434226</c:v>
                </c:pt>
                <c:pt idx="127">
                  <c:v>125.84855962895324</c:v>
                </c:pt>
                <c:pt idx="128">
                  <c:v>128.47933268495203</c:v>
                </c:pt>
                <c:pt idx="129">
                  <c:v>130.29990668812582</c:v>
                </c:pt>
                <c:pt idx="130">
                  <c:v>130.72196067402763</c:v>
                </c:pt>
                <c:pt idx="131">
                  <c:v>132.92639525598739</c:v>
                </c:pt>
                <c:pt idx="132">
                  <c:v>133.79447452356749</c:v>
                </c:pt>
                <c:pt idx="133">
                  <c:v>131.92970087690438</c:v>
                </c:pt>
                <c:pt idx="134">
                  <c:v>130.5600922305963</c:v>
                </c:pt>
                <c:pt idx="135">
                  <c:v>130.29212866618454</c:v>
                </c:pt>
                <c:pt idx="136">
                  <c:v>129.73008308041847</c:v>
                </c:pt>
                <c:pt idx="137">
                  <c:v>135.6886900541019</c:v>
                </c:pt>
                <c:pt idx="138">
                  <c:v>133.70221517652183</c:v>
                </c:pt>
                <c:pt idx="139">
                  <c:v>136.5431706131597</c:v>
                </c:pt>
                <c:pt idx="140">
                  <c:v>137.22657809172733</c:v>
                </c:pt>
                <c:pt idx="141">
                  <c:v>139.00397074483533</c:v>
                </c:pt>
                <c:pt idx="142">
                  <c:v>139.92044330992894</c:v>
                </c:pt>
                <c:pt idx="143">
                  <c:v>138.26538336765765</c:v>
                </c:pt>
                <c:pt idx="144">
                  <c:v>145.68237067343512</c:v>
                </c:pt>
                <c:pt idx="145">
                  <c:v>141.32644659588121</c:v>
                </c:pt>
                <c:pt idx="146">
                  <c:v>142.93382344626667</c:v>
                </c:pt>
                <c:pt idx="147">
                  <c:v>144.77525598655873</c:v>
                </c:pt>
                <c:pt idx="148">
                  <c:v>143.23011857609956</c:v>
                </c:pt>
                <c:pt idx="149">
                  <c:v>146.19334856751033</c:v>
                </c:pt>
                <c:pt idx="150">
                  <c:v>147.82279729856319</c:v>
                </c:pt>
                <c:pt idx="151">
                  <c:v>147.53974733914876</c:v>
                </c:pt>
                <c:pt idx="152">
                  <c:v>146.23098609599842</c:v>
                </c:pt>
                <c:pt idx="153">
                  <c:v>146.88205301986989</c:v>
                </c:pt>
                <c:pt idx="154">
                  <c:v>148.27870026354441</c:v>
                </c:pt>
                <c:pt idx="155">
                  <c:v>146.93968836708947</c:v>
                </c:pt>
                <c:pt idx="156">
                  <c:v>147.46458175668042</c:v>
                </c:pt>
                <c:pt idx="157">
                  <c:v>143.04295462443889</c:v>
                </c:pt>
                <c:pt idx="158">
                  <c:v>142.65046276295328</c:v>
                </c:pt>
                <c:pt idx="159">
                  <c:v>142.02207629908949</c:v>
                </c:pt>
                <c:pt idx="160">
                  <c:v>142.19383445806582</c:v>
                </c:pt>
                <c:pt idx="161">
                  <c:v>142.07761568695602</c:v>
                </c:pt>
                <c:pt idx="162">
                  <c:v>143.72967452989735</c:v>
                </c:pt>
                <c:pt idx="163">
                  <c:v>145.30174310052422</c:v>
                </c:pt>
                <c:pt idx="164">
                  <c:v>146.88836307989226</c:v>
                </c:pt>
                <c:pt idx="165">
                  <c:v>148.21887190193198</c:v>
                </c:pt>
                <c:pt idx="166">
                  <c:v>148.80570048627499</c:v>
                </c:pt>
                <c:pt idx="167">
                  <c:v>149.02884205061847</c:v>
                </c:pt>
                <c:pt idx="168">
                  <c:v>150.66831442377432</c:v>
                </c:pt>
                <c:pt idx="169">
                  <c:v>153.2030717221329</c:v>
                </c:pt>
                <c:pt idx="170">
                  <c:v>153.86536348162952</c:v>
                </c:pt>
                <c:pt idx="171">
                  <c:v>150.66582974531107</c:v>
                </c:pt>
                <c:pt idx="172">
                  <c:v>155.18133816874251</c:v>
                </c:pt>
                <c:pt idx="173">
                  <c:v>157.19712302223522</c:v>
                </c:pt>
                <c:pt idx="174">
                  <c:v>155.50796345053561</c:v>
                </c:pt>
                <c:pt idx="175">
                  <c:v>141.55847927890215</c:v>
                </c:pt>
                <c:pt idx="176">
                  <c:v>143.84606277046021</c:v>
                </c:pt>
                <c:pt idx="177">
                  <c:v>132.35195707131871</c:v>
                </c:pt>
                <c:pt idx="178">
                  <c:v>117.51197505461082</c:v>
                </c:pt>
                <c:pt idx="179">
                  <c:v>126.53782297019535</c:v>
                </c:pt>
                <c:pt idx="180">
                  <c:v>127.55469894955623</c:v>
                </c:pt>
                <c:pt idx="181">
                  <c:v>136.7910437062219</c:v>
                </c:pt>
                <c:pt idx="182">
                  <c:v>139.93862162483774</c:v>
                </c:pt>
                <c:pt idx="183">
                  <c:v>136.62357743290244</c:v>
                </c:pt>
                <c:pt idx="184">
                  <c:v>135.19668042535343</c:v>
                </c:pt>
                <c:pt idx="185">
                  <c:v>137.65885439728231</c:v>
                </c:pt>
                <c:pt idx="186">
                  <c:v>131.26309537542849</c:v>
                </c:pt>
                <c:pt idx="187">
                  <c:v>135.54642248438847</c:v>
                </c:pt>
                <c:pt idx="188">
                  <c:v>140.28839697411624</c:v>
                </c:pt>
                <c:pt idx="189">
                  <c:v>148.69249271992842</c:v>
                </c:pt>
                <c:pt idx="190">
                  <c:v>140.96602533648397</c:v>
                </c:pt>
                <c:pt idx="191">
                  <c:v>141.31551840836158</c:v>
                </c:pt>
                <c:pt idx="192">
                  <c:v>137.45868454974655</c:v>
                </c:pt>
                <c:pt idx="193">
                  <c:v>140.05601857591213</c:v>
                </c:pt>
                <c:pt idx="194">
                  <c:v>141.41006050883814</c:v>
                </c:pt>
                <c:pt idx="195">
                  <c:v>145.42330937282739</c:v>
                </c:pt>
                <c:pt idx="196">
                  <c:v>146.6001711010033</c:v>
                </c:pt>
                <c:pt idx="197">
                  <c:v>144.21151509946111</c:v>
                </c:pt>
                <c:pt idx="198">
                  <c:v>147.41808205044438</c:v>
                </c:pt>
                <c:pt idx="199">
                  <c:v>149.67994449520111</c:v>
                </c:pt>
                <c:pt idx="200">
                  <c:v>149.43958539724213</c:v>
                </c:pt>
                <c:pt idx="201">
                  <c:v>153.56480032822861</c:v>
                </c:pt>
                <c:pt idx="202">
                  <c:v>153.24168135889147</c:v>
                </c:pt>
                <c:pt idx="203">
                  <c:v>152.02114433564077</c:v>
                </c:pt>
                <c:pt idx="204">
                  <c:v>152.5331933900159</c:v>
                </c:pt>
                <c:pt idx="205">
                  <c:v>150.22775569432238</c:v>
                </c:pt>
                <c:pt idx="206">
                  <c:v>151.5731198396353</c:v>
                </c:pt>
                <c:pt idx="207">
                  <c:v>156.76167973080805</c:v>
                </c:pt>
                <c:pt idx="208">
                  <c:v>156.76718842575787</c:v>
                </c:pt>
                <c:pt idx="209">
                  <c:v>155.49704842612448</c:v>
                </c:pt>
                <c:pt idx="210">
                  <c:v>149.77423429421276</c:v>
                </c:pt>
                <c:pt idx="211">
                  <c:v>156.36478751591127</c:v>
                </c:pt>
                <c:pt idx="212">
                  <c:v>160.9789942111824</c:v>
                </c:pt>
                <c:pt idx="213">
                  <c:v>159.89804580743174</c:v>
                </c:pt>
                <c:pt idx="214">
                  <c:v>161.02517294012654</c:v>
                </c:pt>
                <c:pt idx="215">
                  <c:v>164.27554700587632</c:v>
                </c:pt>
                <c:pt idx="216">
                  <c:v>161.56272751002848</c:v>
                </c:pt>
                <c:pt idx="217">
                  <c:v>162.79031629006508</c:v>
                </c:pt>
                <c:pt idx="218">
                  <c:v>161.44437047319411</c:v>
                </c:pt>
                <c:pt idx="219">
                  <c:v>163.89194688812256</c:v>
                </c:pt>
                <c:pt idx="220">
                  <c:v>161.19174602209279</c:v>
                </c:pt>
                <c:pt idx="221">
                  <c:v>158.65855178442683</c:v>
                </c:pt>
                <c:pt idx="222">
                  <c:v>159.15912387806509</c:v>
                </c:pt>
                <c:pt idx="223">
                  <c:v>155.54248830108435</c:v>
                </c:pt>
                <c:pt idx="224">
                  <c:v>159.42776592206724</c:v>
                </c:pt>
                <c:pt idx="225">
                  <c:v>163.56527901645057</c:v>
                </c:pt>
                <c:pt idx="226">
                  <c:v>162.27227322152785</c:v>
                </c:pt>
                <c:pt idx="227">
                  <c:v>158.7390245598919</c:v>
                </c:pt>
                <c:pt idx="228">
                  <c:v>159.97391650586675</c:v>
                </c:pt>
                <c:pt idx="229">
                  <c:v>161.15041475432218</c:v>
                </c:pt>
                <c:pt idx="230">
                  <c:v>163.27156613236863</c:v>
                </c:pt>
                <c:pt idx="231">
                  <c:v>170.03838851772193</c:v>
                </c:pt>
                <c:pt idx="232">
                  <c:v>170.89230137402953</c:v>
                </c:pt>
                <c:pt idx="233">
                  <c:v>173.61194818239909</c:v>
                </c:pt>
                <c:pt idx="234">
                  <c:v>173.520634282527</c:v>
                </c:pt>
                <c:pt idx="235">
                  <c:v>172.65387257618639</c:v>
                </c:pt>
                <c:pt idx="236">
                  <c:v>169.7655051242975</c:v>
                </c:pt>
                <c:pt idx="237">
                  <c:v>173.23622729414177</c:v>
                </c:pt>
                <c:pt idx="238">
                  <c:v>172.10607447434359</c:v>
                </c:pt>
                <c:pt idx="239">
                  <c:v>172.31124241231777</c:v>
                </c:pt>
                <c:pt idx="240">
                  <c:v>174.27292127055082</c:v>
                </c:pt>
                <c:pt idx="241">
                  <c:v>176.06833627544762</c:v>
                </c:pt>
                <c:pt idx="242">
                  <c:v>175.26080820969986</c:v>
                </c:pt>
                <c:pt idx="243">
                  <c:v>170.38337648859434</c:v>
                </c:pt>
                <c:pt idx="244">
                  <c:v>172.63694189717938</c:v>
                </c:pt>
                <c:pt idx="245">
                  <c:v>173.71499538394571</c:v>
                </c:pt>
                <c:pt idx="246">
                  <c:v>173.69544499567749</c:v>
                </c:pt>
                <c:pt idx="247">
                  <c:v>174.1345133788474</c:v>
                </c:pt>
                <c:pt idx="248">
                  <c:v>175.37584221593477</c:v>
                </c:pt>
                <c:pt idx="249">
                  <c:v>175.99840532664047</c:v>
                </c:pt>
                <c:pt idx="250">
                  <c:v>175.75270112590363</c:v>
                </c:pt>
                <c:pt idx="251">
                  <c:v>174.64900713114028</c:v>
                </c:pt>
                <c:pt idx="252">
                  <c:v>172.90106506930294</c:v>
                </c:pt>
                <c:pt idx="253">
                  <c:v>173.86208786256796</c:v>
                </c:pt>
                <c:pt idx="254">
                  <c:v>174.47803162788088</c:v>
                </c:pt>
                <c:pt idx="255">
                  <c:v>172.85122164203332</c:v>
                </c:pt>
                <c:pt idx="256">
                  <c:v>172.95000011309531</c:v>
                </c:pt>
                <c:pt idx="257">
                  <c:v>174.12867669882223</c:v>
                </c:pt>
                <c:pt idx="258">
                  <c:v>170.97091997739275</c:v>
                </c:pt>
                <c:pt idx="259">
                  <c:v>172.95430686707175</c:v>
                </c:pt>
                <c:pt idx="260">
                  <c:v>173.75133592892121</c:v>
                </c:pt>
                <c:pt idx="261">
                  <c:v>175.50240431960469</c:v>
                </c:pt>
                <c:pt idx="262">
                  <c:v>171.61790723763244</c:v>
                </c:pt>
                <c:pt idx="263">
                  <c:v>174.47507056208627</c:v>
                </c:pt>
                <c:pt idx="264">
                  <c:v>173.15382325912799</c:v>
                </c:pt>
                <c:pt idx="265">
                  <c:v>173.21606011373606</c:v>
                </c:pt>
                <c:pt idx="266">
                  <c:v>169.72910989980031</c:v>
                </c:pt>
                <c:pt idx="267">
                  <c:v>170.66735094913594</c:v>
                </c:pt>
                <c:pt idx="268">
                  <c:v>175.00160212820779</c:v>
                </c:pt>
                <c:pt idx="269">
                  <c:v>173.68523310165153</c:v>
                </c:pt>
                <c:pt idx="270">
                  <c:v>174.70667377436015</c:v>
                </c:pt>
                <c:pt idx="271">
                  <c:v>176.53001281723257</c:v>
                </c:pt>
                <c:pt idx="272">
                  <c:v>174.93960093543316</c:v>
                </c:pt>
                <c:pt idx="273">
                  <c:v>179.1030477911207</c:v>
                </c:pt>
                <c:pt idx="274">
                  <c:v>174.34763871193047</c:v>
                </c:pt>
                <c:pt idx="275">
                  <c:v>176.65984432256687</c:v>
                </c:pt>
                <c:pt idx="276">
                  <c:v>174.53803675213754</c:v>
                </c:pt>
                <c:pt idx="277">
                  <c:v>171.67680486896717</c:v>
                </c:pt>
                <c:pt idx="278">
                  <c:v>174.03898034893413</c:v>
                </c:pt>
                <c:pt idx="279">
                  <c:v>177.15274432178305</c:v>
                </c:pt>
                <c:pt idx="280">
                  <c:v>179.68124855729343</c:v>
                </c:pt>
                <c:pt idx="281">
                  <c:v>174.05944296388202</c:v>
                </c:pt>
                <c:pt idx="282">
                  <c:v>178.45285711821947</c:v>
                </c:pt>
                <c:pt idx="283">
                  <c:v>182.59136445839789</c:v>
                </c:pt>
                <c:pt idx="284">
                  <c:v>182.47823486789133</c:v>
                </c:pt>
                <c:pt idx="285">
                  <c:v>181.34078265162489</c:v>
                </c:pt>
                <c:pt idx="286">
                  <c:v>182.58622799873982</c:v>
                </c:pt>
                <c:pt idx="287">
                  <c:v>181.31594959754341</c:v>
                </c:pt>
                <c:pt idx="288">
                  <c:v>179.02218854726374</c:v>
                </c:pt>
                <c:pt idx="289">
                  <c:v>178.89224257122441</c:v>
                </c:pt>
                <c:pt idx="290">
                  <c:v>180.05480254983976</c:v>
                </c:pt>
                <c:pt idx="291">
                  <c:v>175.15960896191442</c:v>
                </c:pt>
                <c:pt idx="292">
                  <c:v>183.15765036492527</c:v>
                </c:pt>
                <c:pt idx="293">
                  <c:v>178.94796792037047</c:v>
                </c:pt>
                <c:pt idx="294">
                  <c:v>171.56683695617352</c:v>
                </c:pt>
                <c:pt idx="295">
                  <c:v>165.05172597265303</c:v>
                </c:pt>
                <c:pt idx="296">
                  <c:v>171.67567879131383</c:v>
                </c:pt>
                <c:pt idx="297">
                  <c:v>171.20362535546468</c:v>
                </c:pt>
                <c:pt idx="298">
                  <c:v>172.26107984579622</c:v>
                </c:pt>
                <c:pt idx="299">
                  <c:v>172.25450670152676</c:v>
                </c:pt>
                <c:pt idx="300">
                  <c:v>172.39428419211126</c:v>
                </c:pt>
                <c:pt idx="301">
                  <c:v>181.53802384466402</c:v>
                </c:pt>
                <c:pt idx="302">
                  <c:v>183.31566110573905</c:v>
                </c:pt>
                <c:pt idx="303">
                  <c:v>184.24055028746673</c:v>
                </c:pt>
                <c:pt idx="304">
                  <c:v>182.9965152694902</c:v>
                </c:pt>
                <c:pt idx="305">
                  <c:v>177.92193143763708</c:v>
                </c:pt>
                <c:pt idx="306">
                  <c:v>172.94196682207675</c:v>
                </c:pt>
                <c:pt idx="307">
                  <c:v>176.80181630472623</c:v>
                </c:pt>
                <c:pt idx="308">
                  <c:v>171.61098581789491</c:v>
                </c:pt>
                <c:pt idx="309">
                  <c:v>168.964309112552</c:v>
                </c:pt>
                <c:pt idx="310">
                  <c:v>162.40911834719211</c:v>
                </c:pt>
                <c:pt idx="311">
                  <c:v>163.61350846776259</c:v>
                </c:pt>
                <c:pt idx="312">
                  <c:v>159.34049389083947</c:v>
                </c:pt>
                <c:pt idx="313">
                  <c:v>167.69897160975734</c:v>
                </c:pt>
                <c:pt idx="314">
                  <c:v>174.77601334048447</c:v>
                </c:pt>
                <c:pt idx="315">
                  <c:v>173.51906034454214</c:v>
                </c:pt>
                <c:pt idx="316">
                  <c:v>180.78377572685042</c:v>
                </c:pt>
                <c:pt idx="317">
                  <c:v>180.33308951907819</c:v>
                </c:pt>
                <c:pt idx="318">
                  <c:v>182.92555318202923</c:v>
                </c:pt>
                <c:pt idx="319">
                  <c:v>185.62190187527264</c:v>
                </c:pt>
                <c:pt idx="320">
                  <c:v>182.78564280896259</c:v>
                </c:pt>
                <c:pt idx="321">
                  <c:v>180.7908516320577</c:v>
                </c:pt>
                <c:pt idx="322">
                  <c:v>179.93862506625999</c:v>
                </c:pt>
                <c:pt idx="323">
                  <c:v>179.94409560067751</c:v>
                </c:pt>
                <c:pt idx="324">
                  <c:v>182.86789186545064</c:v>
                </c:pt>
                <c:pt idx="325">
                  <c:v>181.45916397963316</c:v>
                </c:pt>
                <c:pt idx="326">
                  <c:v>177.95328589642236</c:v>
                </c:pt>
                <c:pt idx="327">
                  <c:v>179.90686089910233</c:v>
                </c:pt>
                <c:pt idx="328">
                  <c:v>181.63069527058499</c:v>
                </c:pt>
                <c:pt idx="329">
                  <c:v>180.01733534446009</c:v>
                </c:pt>
                <c:pt idx="330">
                  <c:v>179.90138323342168</c:v>
                </c:pt>
                <c:pt idx="331">
                  <c:v>177.58870877154814</c:v>
                </c:pt>
                <c:pt idx="332">
                  <c:v>179.20437511137635</c:v>
                </c:pt>
                <c:pt idx="333">
                  <c:v>177.55225861553706</c:v>
                </c:pt>
                <c:pt idx="334">
                  <c:v>180.22858061532358</c:v>
                </c:pt>
                <c:pt idx="335">
                  <c:v>183.05032456257604</c:v>
                </c:pt>
                <c:pt idx="336">
                  <c:v>186.15649146100748</c:v>
                </c:pt>
                <c:pt idx="337">
                  <c:v>185.63466449452011</c:v>
                </c:pt>
                <c:pt idx="338">
                  <c:v>185.89285221241533</c:v>
                </c:pt>
                <c:pt idx="339">
                  <c:v>185.72369165096802</c:v>
                </c:pt>
                <c:pt idx="340">
                  <c:v>181.78602912100641</c:v>
                </c:pt>
                <c:pt idx="341">
                  <c:v>180.8726308150367</c:v>
                </c:pt>
                <c:pt idx="342">
                  <c:v>179.29836046485127</c:v>
                </c:pt>
                <c:pt idx="343">
                  <c:v>181.06697425041256</c:v>
                </c:pt>
                <c:pt idx="344">
                  <c:v>180.09765426710553</c:v>
                </c:pt>
                <c:pt idx="345">
                  <c:v>181.07488631170636</c:v>
                </c:pt>
                <c:pt idx="346">
                  <c:v>179.08844148856423</c:v>
                </c:pt>
                <c:pt idx="347">
                  <c:v>182.13088638759879</c:v>
                </c:pt>
                <c:pt idx="348">
                  <c:v>178.5968298605024</c:v>
                </c:pt>
                <c:pt idx="349">
                  <c:v>181.95518192467196</c:v>
                </c:pt>
                <c:pt idx="350">
                  <c:v>178.92333038498413</c:v>
                </c:pt>
                <c:pt idx="351">
                  <c:v>183.10787196946973</c:v>
                </c:pt>
                <c:pt idx="352">
                  <c:v>185.48839878020016</c:v>
                </c:pt>
                <c:pt idx="353">
                  <c:v>183.0596709079519</c:v>
                </c:pt>
                <c:pt idx="354">
                  <c:v>177.70248873449481</c:v>
                </c:pt>
                <c:pt idx="355">
                  <c:v>177.90822739115833</c:v>
                </c:pt>
                <c:pt idx="356">
                  <c:v>177.29095327394307</c:v>
                </c:pt>
                <c:pt idx="357">
                  <c:v>177.2267425507394</c:v>
                </c:pt>
                <c:pt idx="358">
                  <c:v>176.95770576381943</c:v>
                </c:pt>
                <c:pt idx="359">
                  <c:v>172.73988497348179</c:v>
                </c:pt>
                <c:pt idx="360">
                  <c:v>171.70990495027362</c:v>
                </c:pt>
                <c:pt idx="361">
                  <c:v>169.85627288600688</c:v>
                </c:pt>
                <c:pt idx="362">
                  <c:v>167.41555873087466</c:v>
                </c:pt>
                <c:pt idx="363">
                  <c:v>163.28793209329919</c:v>
                </c:pt>
                <c:pt idx="364">
                  <c:v>163.90606394646935</c:v>
                </c:pt>
                <c:pt idx="365">
                  <c:v>163.7825112976162</c:v>
                </c:pt>
                <c:pt idx="366">
                  <c:v>162.81051277985731</c:v>
                </c:pt>
                <c:pt idx="367">
                  <c:v>167.65745083274268</c:v>
                </c:pt>
                <c:pt idx="368">
                  <c:v>166.28024289794544</c:v>
                </c:pt>
                <c:pt idx="369">
                  <c:v>169.73566340173869</c:v>
                </c:pt>
                <c:pt idx="370">
                  <c:v>171.14759657894282</c:v>
                </c:pt>
                <c:pt idx="371">
                  <c:v>171.98207942704585</c:v>
                </c:pt>
                <c:pt idx="372">
                  <c:v>172.72656280014846</c:v>
                </c:pt>
                <c:pt idx="373">
                  <c:v>176.80813209437042</c:v>
                </c:pt>
                <c:pt idx="374">
                  <c:v>177.00073483811013</c:v>
                </c:pt>
                <c:pt idx="375">
                  <c:v>178.77862250397445</c:v>
                </c:pt>
                <c:pt idx="376">
                  <c:v>177.69078079958825</c:v>
                </c:pt>
                <c:pt idx="377">
                  <c:v>178.75099787187736</c:v>
                </c:pt>
                <c:pt idx="378">
                  <c:v>180.94230404347823</c:v>
                </c:pt>
                <c:pt idx="379">
                  <c:v>175.72319750789086</c:v>
                </c:pt>
                <c:pt idx="380">
                  <c:v>175.14742335744199</c:v>
                </c:pt>
                <c:pt idx="381">
                  <c:v>175.14820922494746</c:v>
                </c:pt>
                <c:pt idx="382">
                  <c:v>173.94211758055908</c:v>
                </c:pt>
                <c:pt idx="383">
                  <c:v>177.25142011055644</c:v>
                </c:pt>
                <c:pt idx="384">
                  <c:v>178.07099842433749</c:v>
                </c:pt>
                <c:pt idx="385">
                  <c:v>179.09479583349884</c:v>
                </c:pt>
                <c:pt idx="386">
                  <c:v>179.58354762692028</c:v>
                </c:pt>
                <c:pt idx="387">
                  <c:v>180.6557455446945</c:v>
                </c:pt>
                <c:pt idx="388">
                  <c:v>182.57244166274921</c:v>
                </c:pt>
                <c:pt idx="389">
                  <c:v>178.41954097216473</c:v>
                </c:pt>
                <c:pt idx="390">
                  <c:v>176.27061296511212</c:v>
                </c:pt>
                <c:pt idx="391">
                  <c:v>176.37279690466363</c:v>
                </c:pt>
                <c:pt idx="392">
                  <c:v>184.31568400698256</c:v>
                </c:pt>
                <c:pt idx="393">
                  <c:v>185.38563186791507</c:v>
                </c:pt>
                <c:pt idx="394">
                  <c:v>189.86486415545039</c:v>
                </c:pt>
                <c:pt idx="395">
                  <c:v>192.29042146813794</c:v>
                </c:pt>
                <c:pt idx="396">
                  <c:v>192.59505277861032</c:v>
                </c:pt>
                <c:pt idx="397">
                  <c:v>192.28455260961874</c:v>
                </c:pt>
                <c:pt idx="398">
                  <c:v>193.85115144274633</c:v>
                </c:pt>
                <c:pt idx="399">
                  <c:v>191.35606964369003</c:v>
                </c:pt>
                <c:pt idx="400">
                  <c:v>192.758823720132</c:v>
                </c:pt>
                <c:pt idx="401">
                  <c:v>193.3161728889848</c:v>
                </c:pt>
                <c:pt idx="402">
                  <c:v>194.48559747053403</c:v>
                </c:pt>
                <c:pt idx="403">
                  <c:v>195.81177934883701</c:v>
                </c:pt>
                <c:pt idx="404">
                  <c:v>197.36968942944927</c:v>
                </c:pt>
                <c:pt idx="405">
                  <c:v>202.85405733747689</c:v>
                </c:pt>
                <c:pt idx="406">
                  <c:v>202.03735236370707</c:v>
                </c:pt>
                <c:pt idx="407">
                  <c:v>203.5211104609038</c:v>
                </c:pt>
                <c:pt idx="408">
                  <c:v>207.41134811658148</c:v>
                </c:pt>
                <c:pt idx="409">
                  <c:v>211.07120988533458</c:v>
                </c:pt>
                <c:pt idx="410">
                  <c:v>216.03193601312034</c:v>
                </c:pt>
                <c:pt idx="411">
                  <c:v>209.22205979325261</c:v>
                </c:pt>
                <c:pt idx="412">
                  <c:v>210.74837207668617</c:v>
                </c:pt>
                <c:pt idx="413">
                  <c:v>212.25774805833859</c:v>
                </c:pt>
                <c:pt idx="414">
                  <c:v>214.8687233044991</c:v>
                </c:pt>
                <c:pt idx="415">
                  <c:v>212.00686883223463</c:v>
                </c:pt>
                <c:pt idx="416">
                  <c:v>211.71073943073182</c:v>
                </c:pt>
                <c:pt idx="417">
                  <c:v>210.74741737530567</c:v>
                </c:pt>
                <c:pt idx="418">
                  <c:v>207.6348639693291</c:v>
                </c:pt>
                <c:pt idx="419">
                  <c:v>203.95515318991585</c:v>
                </c:pt>
                <c:pt idx="420">
                  <c:v>208.76239106412828</c:v>
                </c:pt>
                <c:pt idx="421">
                  <c:v>198.72279662878157</c:v>
                </c:pt>
                <c:pt idx="422">
                  <c:v>200.52261629122737</c:v>
                </c:pt>
                <c:pt idx="423">
                  <c:v>201.3742426816514</c:v>
                </c:pt>
                <c:pt idx="424">
                  <c:v>196.42127260713178</c:v>
                </c:pt>
                <c:pt idx="425">
                  <c:v>195.51811442519991</c:v>
                </c:pt>
                <c:pt idx="426">
                  <c:v>192.72848066832645</c:v>
                </c:pt>
                <c:pt idx="427">
                  <c:v>193.95269363422813</c:v>
                </c:pt>
                <c:pt idx="428">
                  <c:v>192.73698497621839</c:v>
                </c:pt>
                <c:pt idx="429">
                  <c:v>191.05170115739057</c:v>
                </c:pt>
                <c:pt idx="430">
                  <c:v>194.75659476219553</c:v>
                </c:pt>
                <c:pt idx="431">
                  <c:v>192.10942054177525</c:v>
                </c:pt>
                <c:pt idx="432">
                  <c:v>191.89124394751587</c:v>
                </c:pt>
                <c:pt idx="433">
                  <c:v>189.74027063019324</c:v>
                </c:pt>
                <c:pt idx="434">
                  <c:v>194.53927472622971</c:v>
                </c:pt>
                <c:pt idx="435">
                  <c:v>204.72602214487759</c:v>
                </c:pt>
                <c:pt idx="436">
                  <c:v>203.62308021766839</c:v>
                </c:pt>
                <c:pt idx="437">
                  <c:v>203.51178196986478</c:v>
                </c:pt>
                <c:pt idx="438">
                  <c:v>195.96449523020439</c:v>
                </c:pt>
                <c:pt idx="439">
                  <c:v>194.99771951947685</c:v>
                </c:pt>
                <c:pt idx="440">
                  <c:v>195.7684793626207</c:v>
                </c:pt>
                <c:pt idx="441">
                  <c:v>186.04412766285512</c:v>
                </c:pt>
                <c:pt idx="442">
                  <c:v>188.10918880501731</c:v>
                </c:pt>
                <c:pt idx="443">
                  <c:v>189.35181986438855</c:v>
                </c:pt>
                <c:pt idx="444">
                  <c:v>195.262886364222</c:v>
                </c:pt>
                <c:pt idx="445">
                  <c:v>195.68506934009255</c:v>
                </c:pt>
                <c:pt idx="446">
                  <c:v>197.53582167894524</c:v>
                </c:pt>
                <c:pt idx="447">
                  <c:v>204.54343260924117</c:v>
                </c:pt>
                <c:pt idx="448">
                  <c:v>200.01891465663678</c:v>
                </c:pt>
                <c:pt idx="449">
                  <c:v>203.73413797424996</c:v>
                </c:pt>
                <c:pt idx="450">
                  <c:v>206.51266132000111</c:v>
                </c:pt>
                <c:pt idx="451">
                  <c:v>207.37025396477901</c:v>
                </c:pt>
                <c:pt idx="452">
                  <c:v>205.57049806368889</c:v>
                </c:pt>
                <c:pt idx="453">
                  <c:v>209.72116014611956</c:v>
                </c:pt>
                <c:pt idx="454">
                  <c:v>213.96794593349961</c:v>
                </c:pt>
                <c:pt idx="455">
                  <c:v>214.33037176195685</c:v>
                </c:pt>
                <c:pt idx="456">
                  <c:v>212.5715932790624</c:v>
                </c:pt>
                <c:pt idx="457">
                  <c:v>199.19584962462662</c:v>
                </c:pt>
                <c:pt idx="458">
                  <c:v>197.48195898201752</c:v>
                </c:pt>
                <c:pt idx="459">
                  <c:v>201.74844167668147</c:v>
                </c:pt>
                <c:pt idx="460">
                  <c:v>204.66363313574607</c:v>
                </c:pt>
                <c:pt idx="461">
                  <c:v>209.42502950474855</c:v>
                </c:pt>
                <c:pt idx="462">
                  <c:v>207.87636368916941</c:v>
                </c:pt>
                <c:pt idx="463">
                  <c:v>202.5202210529564</c:v>
                </c:pt>
                <c:pt idx="464">
                  <c:v>200.25081974050093</c:v>
                </c:pt>
                <c:pt idx="465">
                  <c:v>198.56386355551044</c:v>
                </c:pt>
                <c:pt idx="466">
                  <c:v>200.36779759121762</c:v>
                </c:pt>
                <c:pt idx="467">
                  <c:v>200.83626519355258</c:v>
                </c:pt>
                <c:pt idx="468">
                  <c:v>198.122837084221</c:v>
                </c:pt>
                <c:pt idx="469">
                  <c:v>201.0998589264801</c:v>
                </c:pt>
                <c:pt idx="470">
                  <c:v>199.08064703196266</c:v>
                </c:pt>
                <c:pt idx="471">
                  <c:v>195.54315975562741</c:v>
                </c:pt>
                <c:pt idx="472">
                  <c:v>194.9529621641652</c:v>
                </c:pt>
                <c:pt idx="473">
                  <c:v>195.47898073617387</c:v>
                </c:pt>
                <c:pt idx="474">
                  <c:v>196.95151444192763</c:v>
                </c:pt>
                <c:pt idx="475">
                  <c:v>200.77581802646688</c:v>
                </c:pt>
                <c:pt idx="476">
                  <c:v>203.04423616180659</c:v>
                </c:pt>
                <c:pt idx="477">
                  <c:v>203.9813500205241</c:v>
                </c:pt>
                <c:pt idx="478">
                  <c:v>202.11439426384248</c:v>
                </c:pt>
                <c:pt idx="479">
                  <c:v>202.68408158677616</c:v>
                </c:pt>
                <c:pt idx="480">
                  <c:v>202.98351709895539</c:v>
                </c:pt>
                <c:pt idx="481">
                  <c:v>211.67934795770114</c:v>
                </c:pt>
                <c:pt idx="482">
                  <c:v>214.0534600789758</c:v>
                </c:pt>
                <c:pt idx="483">
                  <c:v>217.48381695591485</c:v>
                </c:pt>
                <c:pt idx="484">
                  <c:v>229.90980128399048</c:v>
                </c:pt>
                <c:pt idx="485">
                  <c:v>235.9028196102046</c:v>
                </c:pt>
                <c:pt idx="486">
                  <c:v>238.90466473327285</c:v>
                </c:pt>
                <c:pt idx="487">
                  <c:v>238.266147611934</c:v>
                </c:pt>
                <c:pt idx="488">
                  <c:v>237.44285963230993</c:v>
                </c:pt>
                <c:pt idx="489">
                  <c:v>226.52778797221873</c:v>
                </c:pt>
                <c:pt idx="490">
                  <c:v>224.50136400144817</c:v>
                </c:pt>
                <c:pt idx="491">
                  <c:v>219.61028740282376</c:v>
                </c:pt>
                <c:pt idx="492">
                  <c:v>220.98582088469047</c:v>
                </c:pt>
                <c:pt idx="493">
                  <c:v>224.20113226926838</c:v>
                </c:pt>
                <c:pt idx="494">
                  <c:v>232.12188220439739</c:v>
                </c:pt>
                <c:pt idx="495">
                  <c:v>234.81338156293785</c:v>
                </c:pt>
                <c:pt idx="496">
                  <c:v>247.55667497483387</c:v>
                </c:pt>
                <c:pt idx="497">
                  <c:v>250.62573923986247</c:v>
                </c:pt>
                <c:pt idx="498">
                  <c:v>251.9944166513001</c:v>
                </c:pt>
                <c:pt idx="499">
                  <c:v>259.35661838758335</c:v>
                </c:pt>
                <c:pt idx="500">
                  <c:v>262.79811942476783</c:v>
                </c:pt>
                <c:pt idx="501">
                  <c:v>259.23407258595842</c:v>
                </c:pt>
                <c:pt idx="502">
                  <c:v>253.4788145563013</c:v>
                </c:pt>
                <c:pt idx="503">
                  <c:v>262.60831745218218</c:v>
                </c:pt>
                <c:pt idx="504">
                  <c:v>263.61985330405111</c:v>
                </c:pt>
                <c:pt idx="505">
                  <c:v>256.98577403006465</c:v>
                </c:pt>
                <c:pt idx="506">
                  <c:v>263.47256557151798</c:v>
                </c:pt>
                <c:pt idx="507">
                  <c:v>266.6687285980363</c:v>
                </c:pt>
                <c:pt idx="508">
                  <c:v>255.83326451242928</c:v>
                </c:pt>
                <c:pt idx="509">
                  <c:v>259.98200433156558</c:v>
                </c:pt>
                <c:pt idx="510">
                  <c:v>264.57535541350535</c:v>
                </c:pt>
                <c:pt idx="511">
                  <c:v>267.72650682920511</c:v>
                </c:pt>
                <c:pt idx="512">
                  <c:v>267.6764048587732</c:v>
                </c:pt>
                <c:pt idx="513">
                  <c:v>263.75238833033353</c:v>
                </c:pt>
                <c:pt idx="514">
                  <c:v>260.47771132141889</c:v>
                </c:pt>
                <c:pt idx="515">
                  <c:v>256.24008601792599</c:v>
                </c:pt>
                <c:pt idx="516">
                  <c:v>259.4521867943738</c:v>
                </c:pt>
                <c:pt idx="517">
                  <c:v>259.06620973572643</c:v>
                </c:pt>
                <c:pt idx="518">
                  <c:v>261.22760204043698</c:v>
                </c:pt>
                <c:pt idx="519">
                  <c:v>262.74602330698934</c:v>
                </c:pt>
                <c:pt idx="520">
                  <c:v>262.67003748484939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0-4F4F-B0C5-B4DA54111D17}"/>
            </c:ext>
          </c:extLst>
        </c:ser>
        <c:ser>
          <c:idx val="1"/>
          <c:order val="1"/>
          <c:tx>
            <c:strRef>
              <c:f>Data!$R$5</c:f>
              <c:strCache>
                <c:ptCount val="1"/>
                <c:pt idx="0">
                  <c:v>S&amp;P 500 (base 100)</c:v>
                </c:pt>
              </c:strCache>
            </c:strRef>
          </c:tx>
          <c:spPr>
            <a:ln w="22225">
              <a:solidFill>
                <a:srgbClr val="ED7D31"/>
              </a:solidFill>
              <a:prstDash val="solid"/>
            </a:ln>
          </c:spPr>
          <c:marker>
            <c:symbol val="none"/>
          </c:marker>
          <c:cat>
            <c:numRef>
              <c:f>Data!$A$6:$A$526</c:f>
              <c:numCache>
                <c:formatCode>dd\-mmm\-yyyy</c:formatCode>
                <c:ptCount val="521"/>
                <c:pt idx="0">
                  <c:v>42664</c:v>
                </c:pt>
                <c:pt idx="1">
                  <c:v>42671</c:v>
                </c:pt>
                <c:pt idx="2">
                  <c:v>42678</c:v>
                </c:pt>
                <c:pt idx="3">
                  <c:v>42685</c:v>
                </c:pt>
                <c:pt idx="4">
                  <c:v>42692</c:v>
                </c:pt>
                <c:pt idx="5">
                  <c:v>42699</c:v>
                </c:pt>
                <c:pt idx="6">
                  <c:v>42706</c:v>
                </c:pt>
                <c:pt idx="7">
                  <c:v>42713</c:v>
                </c:pt>
                <c:pt idx="8">
                  <c:v>42720</c:v>
                </c:pt>
                <c:pt idx="9">
                  <c:v>42727</c:v>
                </c:pt>
                <c:pt idx="10">
                  <c:v>42734</c:v>
                </c:pt>
                <c:pt idx="11">
                  <c:v>42741</c:v>
                </c:pt>
                <c:pt idx="12">
                  <c:v>42748</c:v>
                </c:pt>
                <c:pt idx="13">
                  <c:v>42755</c:v>
                </c:pt>
                <c:pt idx="14">
                  <c:v>42762</c:v>
                </c:pt>
                <c:pt idx="15">
                  <c:v>42769</c:v>
                </c:pt>
                <c:pt idx="16">
                  <c:v>42776</c:v>
                </c:pt>
                <c:pt idx="17">
                  <c:v>42783</c:v>
                </c:pt>
                <c:pt idx="18">
                  <c:v>42790</c:v>
                </c:pt>
                <c:pt idx="19">
                  <c:v>42797</c:v>
                </c:pt>
                <c:pt idx="20">
                  <c:v>42804</c:v>
                </c:pt>
                <c:pt idx="21">
                  <c:v>42811</c:v>
                </c:pt>
                <c:pt idx="22">
                  <c:v>42818</c:v>
                </c:pt>
                <c:pt idx="23">
                  <c:v>42825</c:v>
                </c:pt>
                <c:pt idx="24">
                  <c:v>42832</c:v>
                </c:pt>
                <c:pt idx="25">
                  <c:v>42839</c:v>
                </c:pt>
                <c:pt idx="26">
                  <c:v>42846</c:v>
                </c:pt>
                <c:pt idx="27">
                  <c:v>42853</c:v>
                </c:pt>
                <c:pt idx="28">
                  <c:v>42860</c:v>
                </c:pt>
                <c:pt idx="29">
                  <c:v>42867</c:v>
                </c:pt>
                <c:pt idx="30">
                  <c:v>42874</c:v>
                </c:pt>
                <c:pt idx="31">
                  <c:v>42881</c:v>
                </c:pt>
                <c:pt idx="32">
                  <c:v>42888</c:v>
                </c:pt>
                <c:pt idx="33">
                  <c:v>42895</c:v>
                </c:pt>
                <c:pt idx="34">
                  <c:v>42902</c:v>
                </c:pt>
                <c:pt idx="35">
                  <c:v>42909</c:v>
                </c:pt>
                <c:pt idx="36">
                  <c:v>42916</c:v>
                </c:pt>
                <c:pt idx="37">
                  <c:v>42923</c:v>
                </c:pt>
                <c:pt idx="38">
                  <c:v>42930</c:v>
                </c:pt>
                <c:pt idx="39">
                  <c:v>42937</c:v>
                </c:pt>
                <c:pt idx="40">
                  <c:v>42944</c:v>
                </c:pt>
                <c:pt idx="41">
                  <c:v>42951</c:v>
                </c:pt>
                <c:pt idx="42">
                  <c:v>42958</c:v>
                </c:pt>
                <c:pt idx="43">
                  <c:v>42965</c:v>
                </c:pt>
                <c:pt idx="44">
                  <c:v>42972</c:v>
                </c:pt>
                <c:pt idx="45">
                  <c:v>42979</c:v>
                </c:pt>
                <c:pt idx="46">
                  <c:v>42986</c:v>
                </c:pt>
                <c:pt idx="47">
                  <c:v>42993</c:v>
                </c:pt>
                <c:pt idx="48">
                  <c:v>43000</c:v>
                </c:pt>
                <c:pt idx="49">
                  <c:v>43007</c:v>
                </c:pt>
                <c:pt idx="50">
                  <c:v>43014</c:v>
                </c:pt>
                <c:pt idx="51">
                  <c:v>43021</c:v>
                </c:pt>
                <c:pt idx="52">
                  <c:v>43028</c:v>
                </c:pt>
                <c:pt idx="53">
                  <c:v>43035</c:v>
                </c:pt>
                <c:pt idx="54">
                  <c:v>43042</c:v>
                </c:pt>
                <c:pt idx="55">
                  <c:v>43049</c:v>
                </c:pt>
                <c:pt idx="56">
                  <c:v>43056</c:v>
                </c:pt>
                <c:pt idx="57">
                  <c:v>43063</c:v>
                </c:pt>
                <c:pt idx="58">
                  <c:v>43070</c:v>
                </c:pt>
                <c:pt idx="59">
                  <c:v>43077</c:v>
                </c:pt>
                <c:pt idx="60">
                  <c:v>43084</c:v>
                </c:pt>
                <c:pt idx="61">
                  <c:v>43091</c:v>
                </c:pt>
                <c:pt idx="62">
                  <c:v>43098</c:v>
                </c:pt>
                <c:pt idx="63">
                  <c:v>43105</c:v>
                </c:pt>
                <c:pt idx="64">
                  <c:v>43112</c:v>
                </c:pt>
                <c:pt idx="65">
                  <c:v>43119</c:v>
                </c:pt>
                <c:pt idx="66">
                  <c:v>43126</c:v>
                </c:pt>
                <c:pt idx="67">
                  <c:v>43133</c:v>
                </c:pt>
                <c:pt idx="68">
                  <c:v>43140</c:v>
                </c:pt>
                <c:pt idx="69">
                  <c:v>43147</c:v>
                </c:pt>
                <c:pt idx="70">
                  <c:v>43154</c:v>
                </c:pt>
                <c:pt idx="71">
                  <c:v>43161</c:v>
                </c:pt>
                <c:pt idx="72">
                  <c:v>43168</c:v>
                </c:pt>
                <c:pt idx="73">
                  <c:v>43175</c:v>
                </c:pt>
                <c:pt idx="74">
                  <c:v>43182</c:v>
                </c:pt>
                <c:pt idx="75">
                  <c:v>43189</c:v>
                </c:pt>
                <c:pt idx="76">
                  <c:v>43196</c:v>
                </c:pt>
                <c:pt idx="77">
                  <c:v>43203</c:v>
                </c:pt>
                <c:pt idx="78">
                  <c:v>43210</c:v>
                </c:pt>
                <c:pt idx="79">
                  <c:v>43217</c:v>
                </c:pt>
                <c:pt idx="80">
                  <c:v>43224</c:v>
                </c:pt>
                <c:pt idx="81">
                  <c:v>43231</c:v>
                </c:pt>
                <c:pt idx="82">
                  <c:v>43238</c:v>
                </c:pt>
                <c:pt idx="83">
                  <c:v>43245</c:v>
                </c:pt>
                <c:pt idx="84">
                  <c:v>43252</c:v>
                </c:pt>
                <c:pt idx="85">
                  <c:v>43259</c:v>
                </c:pt>
                <c:pt idx="86">
                  <c:v>43266</c:v>
                </c:pt>
                <c:pt idx="87">
                  <c:v>43273</c:v>
                </c:pt>
                <c:pt idx="88">
                  <c:v>43280</c:v>
                </c:pt>
                <c:pt idx="89">
                  <c:v>43287</c:v>
                </c:pt>
                <c:pt idx="90">
                  <c:v>43294</c:v>
                </c:pt>
                <c:pt idx="91">
                  <c:v>43301</c:v>
                </c:pt>
                <c:pt idx="92">
                  <c:v>43308</c:v>
                </c:pt>
                <c:pt idx="93">
                  <c:v>43315</c:v>
                </c:pt>
                <c:pt idx="94">
                  <c:v>43322</c:v>
                </c:pt>
                <c:pt idx="95">
                  <c:v>43329</c:v>
                </c:pt>
                <c:pt idx="96">
                  <c:v>43336</c:v>
                </c:pt>
                <c:pt idx="97">
                  <c:v>43343</c:v>
                </c:pt>
                <c:pt idx="98">
                  <c:v>43350</c:v>
                </c:pt>
                <c:pt idx="99">
                  <c:v>43357</c:v>
                </c:pt>
                <c:pt idx="100">
                  <c:v>43364</c:v>
                </c:pt>
                <c:pt idx="101">
                  <c:v>43371</c:v>
                </c:pt>
                <c:pt idx="102">
                  <c:v>43378</c:v>
                </c:pt>
                <c:pt idx="103">
                  <c:v>43385</c:v>
                </c:pt>
                <c:pt idx="104">
                  <c:v>43392</c:v>
                </c:pt>
                <c:pt idx="105">
                  <c:v>43399</c:v>
                </c:pt>
                <c:pt idx="106">
                  <c:v>43406</c:v>
                </c:pt>
                <c:pt idx="107">
                  <c:v>43413</c:v>
                </c:pt>
                <c:pt idx="108">
                  <c:v>43420</c:v>
                </c:pt>
                <c:pt idx="109">
                  <c:v>43427</c:v>
                </c:pt>
                <c:pt idx="110">
                  <c:v>43434</c:v>
                </c:pt>
                <c:pt idx="111">
                  <c:v>43441</c:v>
                </c:pt>
                <c:pt idx="112">
                  <c:v>43448</c:v>
                </c:pt>
                <c:pt idx="113">
                  <c:v>43455</c:v>
                </c:pt>
                <c:pt idx="114">
                  <c:v>43462</c:v>
                </c:pt>
                <c:pt idx="115">
                  <c:v>43469</c:v>
                </c:pt>
                <c:pt idx="116">
                  <c:v>43476</c:v>
                </c:pt>
                <c:pt idx="117">
                  <c:v>43483</c:v>
                </c:pt>
                <c:pt idx="118">
                  <c:v>43490</c:v>
                </c:pt>
                <c:pt idx="119">
                  <c:v>43497</c:v>
                </c:pt>
                <c:pt idx="120">
                  <c:v>43504</c:v>
                </c:pt>
                <c:pt idx="121">
                  <c:v>43511</c:v>
                </c:pt>
                <c:pt idx="122">
                  <c:v>43518</c:v>
                </c:pt>
                <c:pt idx="123">
                  <c:v>43525</c:v>
                </c:pt>
                <c:pt idx="124">
                  <c:v>43532</c:v>
                </c:pt>
                <c:pt idx="125">
                  <c:v>43539</c:v>
                </c:pt>
                <c:pt idx="126">
                  <c:v>43546</c:v>
                </c:pt>
                <c:pt idx="127">
                  <c:v>43553</c:v>
                </c:pt>
                <c:pt idx="128">
                  <c:v>43560</c:v>
                </c:pt>
                <c:pt idx="129">
                  <c:v>43567</c:v>
                </c:pt>
                <c:pt idx="130">
                  <c:v>43574</c:v>
                </c:pt>
                <c:pt idx="131">
                  <c:v>43581</c:v>
                </c:pt>
                <c:pt idx="132">
                  <c:v>43588</c:v>
                </c:pt>
                <c:pt idx="133">
                  <c:v>43595</c:v>
                </c:pt>
                <c:pt idx="134">
                  <c:v>43602</c:v>
                </c:pt>
                <c:pt idx="135">
                  <c:v>43609</c:v>
                </c:pt>
                <c:pt idx="136">
                  <c:v>43616</c:v>
                </c:pt>
                <c:pt idx="137">
                  <c:v>43623</c:v>
                </c:pt>
                <c:pt idx="138">
                  <c:v>43630</c:v>
                </c:pt>
                <c:pt idx="139">
                  <c:v>43637</c:v>
                </c:pt>
                <c:pt idx="140">
                  <c:v>43644</c:v>
                </c:pt>
                <c:pt idx="141">
                  <c:v>43651</c:v>
                </c:pt>
                <c:pt idx="142">
                  <c:v>43658</c:v>
                </c:pt>
                <c:pt idx="143">
                  <c:v>43665</c:v>
                </c:pt>
                <c:pt idx="144">
                  <c:v>43672</c:v>
                </c:pt>
                <c:pt idx="145">
                  <c:v>43679</c:v>
                </c:pt>
                <c:pt idx="146">
                  <c:v>43686</c:v>
                </c:pt>
                <c:pt idx="147">
                  <c:v>43693</c:v>
                </c:pt>
                <c:pt idx="148">
                  <c:v>43700</c:v>
                </c:pt>
                <c:pt idx="149">
                  <c:v>43707</c:v>
                </c:pt>
                <c:pt idx="150">
                  <c:v>43714</c:v>
                </c:pt>
                <c:pt idx="151">
                  <c:v>43721</c:v>
                </c:pt>
                <c:pt idx="152">
                  <c:v>43728</c:v>
                </c:pt>
                <c:pt idx="153">
                  <c:v>43735</c:v>
                </c:pt>
                <c:pt idx="154">
                  <c:v>43742</c:v>
                </c:pt>
                <c:pt idx="155">
                  <c:v>43749</c:v>
                </c:pt>
                <c:pt idx="156">
                  <c:v>43756</c:v>
                </c:pt>
                <c:pt idx="157">
                  <c:v>43763</c:v>
                </c:pt>
                <c:pt idx="158">
                  <c:v>43770</c:v>
                </c:pt>
                <c:pt idx="159">
                  <c:v>43777</c:v>
                </c:pt>
                <c:pt idx="160">
                  <c:v>43784</c:v>
                </c:pt>
                <c:pt idx="161">
                  <c:v>43791</c:v>
                </c:pt>
                <c:pt idx="162">
                  <c:v>43798</c:v>
                </c:pt>
                <c:pt idx="163">
                  <c:v>43805</c:v>
                </c:pt>
                <c:pt idx="164">
                  <c:v>43812</c:v>
                </c:pt>
                <c:pt idx="165">
                  <c:v>43819</c:v>
                </c:pt>
                <c:pt idx="166">
                  <c:v>43826</c:v>
                </c:pt>
                <c:pt idx="167">
                  <c:v>43833</c:v>
                </c:pt>
                <c:pt idx="168">
                  <c:v>43840</c:v>
                </c:pt>
                <c:pt idx="169">
                  <c:v>43847</c:v>
                </c:pt>
                <c:pt idx="170">
                  <c:v>43854</c:v>
                </c:pt>
                <c:pt idx="171">
                  <c:v>43861</c:v>
                </c:pt>
                <c:pt idx="172">
                  <c:v>43868</c:v>
                </c:pt>
                <c:pt idx="173">
                  <c:v>43875</c:v>
                </c:pt>
                <c:pt idx="174">
                  <c:v>43882</c:v>
                </c:pt>
                <c:pt idx="175">
                  <c:v>43889</c:v>
                </c:pt>
                <c:pt idx="176">
                  <c:v>43896</c:v>
                </c:pt>
                <c:pt idx="177">
                  <c:v>43903</c:v>
                </c:pt>
                <c:pt idx="178">
                  <c:v>43910</c:v>
                </c:pt>
                <c:pt idx="179">
                  <c:v>43917</c:v>
                </c:pt>
                <c:pt idx="180">
                  <c:v>43924</c:v>
                </c:pt>
                <c:pt idx="181">
                  <c:v>43931</c:v>
                </c:pt>
                <c:pt idx="182">
                  <c:v>43938</c:v>
                </c:pt>
                <c:pt idx="183">
                  <c:v>43945</c:v>
                </c:pt>
                <c:pt idx="184">
                  <c:v>43952</c:v>
                </c:pt>
                <c:pt idx="185">
                  <c:v>43959</c:v>
                </c:pt>
                <c:pt idx="186">
                  <c:v>43966</c:v>
                </c:pt>
                <c:pt idx="187">
                  <c:v>43973</c:v>
                </c:pt>
                <c:pt idx="188">
                  <c:v>43980</c:v>
                </c:pt>
                <c:pt idx="189">
                  <c:v>43987</c:v>
                </c:pt>
                <c:pt idx="190">
                  <c:v>43994</c:v>
                </c:pt>
                <c:pt idx="191">
                  <c:v>44001</c:v>
                </c:pt>
                <c:pt idx="192">
                  <c:v>44008</c:v>
                </c:pt>
                <c:pt idx="193">
                  <c:v>44015</c:v>
                </c:pt>
                <c:pt idx="194">
                  <c:v>44022</c:v>
                </c:pt>
                <c:pt idx="195">
                  <c:v>44029</c:v>
                </c:pt>
                <c:pt idx="196">
                  <c:v>44036</c:v>
                </c:pt>
                <c:pt idx="197">
                  <c:v>44043</c:v>
                </c:pt>
                <c:pt idx="198">
                  <c:v>44050</c:v>
                </c:pt>
                <c:pt idx="199">
                  <c:v>44057</c:v>
                </c:pt>
                <c:pt idx="200">
                  <c:v>44064</c:v>
                </c:pt>
                <c:pt idx="201">
                  <c:v>44071</c:v>
                </c:pt>
                <c:pt idx="202">
                  <c:v>44078</c:v>
                </c:pt>
                <c:pt idx="203">
                  <c:v>44085</c:v>
                </c:pt>
                <c:pt idx="204">
                  <c:v>44092</c:v>
                </c:pt>
                <c:pt idx="205">
                  <c:v>44099</c:v>
                </c:pt>
                <c:pt idx="206">
                  <c:v>44106</c:v>
                </c:pt>
                <c:pt idx="207">
                  <c:v>44113</c:v>
                </c:pt>
                <c:pt idx="208">
                  <c:v>44120</c:v>
                </c:pt>
                <c:pt idx="209">
                  <c:v>44127</c:v>
                </c:pt>
                <c:pt idx="210">
                  <c:v>44134</c:v>
                </c:pt>
                <c:pt idx="211">
                  <c:v>44141</c:v>
                </c:pt>
                <c:pt idx="212">
                  <c:v>44148</c:v>
                </c:pt>
                <c:pt idx="213">
                  <c:v>44155</c:v>
                </c:pt>
                <c:pt idx="214">
                  <c:v>44162</c:v>
                </c:pt>
                <c:pt idx="215">
                  <c:v>44169</c:v>
                </c:pt>
                <c:pt idx="216">
                  <c:v>44176</c:v>
                </c:pt>
                <c:pt idx="217">
                  <c:v>44183</c:v>
                </c:pt>
                <c:pt idx="218">
                  <c:v>44190</c:v>
                </c:pt>
                <c:pt idx="219">
                  <c:v>44197</c:v>
                </c:pt>
                <c:pt idx="220">
                  <c:v>44204</c:v>
                </c:pt>
                <c:pt idx="221">
                  <c:v>44211</c:v>
                </c:pt>
                <c:pt idx="222">
                  <c:v>44218</c:v>
                </c:pt>
                <c:pt idx="223">
                  <c:v>44225</c:v>
                </c:pt>
                <c:pt idx="224">
                  <c:v>44232</c:v>
                </c:pt>
                <c:pt idx="225">
                  <c:v>44239</c:v>
                </c:pt>
                <c:pt idx="226">
                  <c:v>44246</c:v>
                </c:pt>
                <c:pt idx="227">
                  <c:v>44253</c:v>
                </c:pt>
                <c:pt idx="228">
                  <c:v>44260</c:v>
                </c:pt>
                <c:pt idx="229">
                  <c:v>44267</c:v>
                </c:pt>
                <c:pt idx="230">
                  <c:v>44274</c:v>
                </c:pt>
                <c:pt idx="231">
                  <c:v>44281</c:v>
                </c:pt>
                <c:pt idx="232">
                  <c:v>44288</c:v>
                </c:pt>
                <c:pt idx="233">
                  <c:v>44295</c:v>
                </c:pt>
                <c:pt idx="234">
                  <c:v>44302</c:v>
                </c:pt>
                <c:pt idx="235">
                  <c:v>44309</c:v>
                </c:pt>
                <c:pt idx="236">
                  <c:v>44316</c:v>
                </c:pt>
                <c:pt idx="237">
                  <c:v>44323</c:v>
                </c:pt>
                <c:pt idx="238">
                  <c:v>44330</c:v>
                </c:pt>
                <c:pt idx="239">
                  <c:v>44337</c:v>
                </c:pt>
                <c:pt idx="240">
                  <c:v>44344</c:v>
                </c:pt>
                <c:pt idx="241">
                  <c:v>44351</c:v>
                </c:pt>
                <c:pt idx="242">
                  <c:v>44358</c:v>
                </c:pt>
                <c:pt idx="243">
                  <c:v>44365</c:v>
                </c:pt>
                <c:pt idx="244">
                  <c:v>44372</c:v>
                </c:pt>
                <c:pt idx="245">
                  <c:v>44379</c:v>
                </c:pt>
                <c:pt idx="246">
                  <c:v>44386</c:v>
                </c:pt>
                <c:pt idx="247">
                  <c:v>44393</c:v>
                </c:pt>
                <c:pt idx="248">
                  <c:v>44400</c:v>
                </c:pt>
                <c:pt idx="249">
                  <c:v>44407</c:v>
                </c:pt>
                <c:pt idx="250">
                  <c:v>44414</c:v>
                </c:pt>
                <c:pt idx="251">
                  <c:v>44421</c:v>
                </c:pt>
                <c:pt idx="252">
                  <c:v>44428</c:v>
                </c:pt>
                <c:pt idx="253">
                  <c:v>44435</c:v>
                </c:pt>
                <c:pt idx="254">
                  <c:v>44442</c:v>
                </c:pt>
                <c:pt idx="255">
                  <c:v>44449</c:v>
                </c:pt>
                <c:pt idx="256">
                  <c:v>44456</c:v>
                </c:pt>
                <c:pt idx="257">
                  <c:v>44463</c:v>
                </c:pt>
                <c:pt idx="258">
                  <c:v>44470</c:v>
                </c:pt>
                <c:pt idx="259">
                  <c:v>44477</c:v>
                </c:pt>
                <c:pt idx="260">
                  <c:v>44484</c:v>
                </c:pt>
                <c:pt idx="261">
                  <c:v>44491</c:v>
                </c:pt>
                <c:pt idx="262">
                  <c:v>44498</c:v>
                </c:pt>
                <c:pt idx="263">
                  <c:v>44505</c:v>
                </c:pt>
                <c:pt idx="264">
                  <c:v>44512</c:v>
                </c:pt>
                <c:pt idx="265">
                  <c:v>44519</c:v>
                </c:pt>
                <c:pt idx="266">
                  <c:v>44526</c:v>
                </c:pt>
                <c:pt idx="267">
                  <c:v>44533</c:v>
                </c:pt>
                <c:pt idx="268">
                  <c:v>44540</c:v>
                </c:pt>
                <c:pt idx="269">
                  <c:v>44547</c:v>
                </c:pt>
                <c:pt idx="270">
                  <c:v>44554</c:v>
                </c:pt>
                <c:pt idx="271">
                  <c:v>44561</c:v>
                </c:pt>
                <c:pt idx="272">
                  <c:v>44568</c:v>
                </c:pt>
                <c:pt idx="273">
                  <c:v>44575</c:v>
                </c:pt>
                <c:pt idx="274">
                  <c:v>44582</c:v>
                </c:pt>
                <c:pt idx="275">
                  <c:v>44589</c:v>
                </c:pt>
                <c:pt idx="276">
                  <c:v>44596</c:v>
                </c:pt>
                <c:pt idx="277">
                  <c:v>44603</c:v>
                </c:pt>
                <c:pt idx="278">
                  <c:v>44610</c:v>
                </c:pt>
                <c:pt idx="279">
                  <c:v>44617</c:v>
                </c:pt>
                <c:pt idx="280">
                  <c:v>44624</c:v>
                </c:pt>
                <c:pt idx="281">
                  <c:v>44631</c:v>
                </c:pt>
                <c:pt idx="282">
                  <c:v>44638</c:v>
                </c:pt>
                <c:pt idx="283">
                  <c:v>44645</c:v>
                </c:pt>
                <c:pt idx="284">
                  <c:v>44652</c:v>
                </c:pt>
                <c:pt idx="285">
                  <c:v>44659</c:v>
                </c:pt>
                <c:pt idx="286">
                  <c:v>44666</c:v>
                </c:pt>
                <c:pt idx="287">
                  <c:v>44673</c:v>
                </c:pt>
                <c:pt idx="288">
                  <c:v>44680</c:v>
                </c:pt>
                <c:pt idx="289">
                  <c:v>44687</c:v>
                </c:pt>
                <c:pt idx="290">
                  <c:v>44694</c:v>
                </c:pt>
                <c:pt idx="291">
                  <c:v>44701</c:v>
                </c:pt>
                <c:pt idx="292">
                  <c:v>44708</c:v>
                </c:pt>
                <c:pt idx="293">
                  <c:v>44715</c:v>
                </c:pt>
                <c:pt idx="294">
                  <c:v>44722</c:v>
                </c:pt>
                <c:pt idx="295">
                  <c:v>44729</c:v>
                </c:pt>
                <c:pt idx="296">
                  <c:v>44736</c:v>
                </c:pt>
                <c:pt idx="297">
                  <c:v>44743</c:v>
                </c:pt>
                <c:pt idx="298">
                  <c:v>44750</c:v>
                </c:pt>
                <c:pt idx="299">
                  <c:v>44757</c:v>
                </c:pt>
                <c:pt idx="300">
                  <c:v>44764</c:v>
                </c:pt>
                <c:pt idx="301">
                  <c:v>44771</c:v>
                </c:pt>
                <c:pt idx="302">
                  <c:v>44778</c:v>
                </c:pt>
                <c:pt idx="303">
                  <c:v>44785</c:v>
                </c:pt>
                <c:pt idx="304">
                  <c:v>44792</c:v>
                </c:pt>
                <c:pt idx="305">
                  <c:v>44799</c:v>
                </c:pt>
                <c:pt idx="306">
                  <c:v>44806</c:v>
                </c:pt>
                <c:pt idx="307">
                  <c:v>44813</c:v>
                </c:pt>
                <c:pt idx="308">
                  <c:v>44820</c:v>
                </c:pt>
                <c:pt idx="309">
                  <c:v>44827</c:v>
                </c:pt>
                <c:pt idx="310">
                  <c:v>44834</c:v>
                </c:pt>
                <c:pt idx="311">
                  <c:v>44841</c:v>
                </c:pt>
                <c:pt idx="312">
                  <c:v>44848</c:v>
                </c:pt>
                <c:pt idx="313">
                  <c:v>44855</c:v>
                </c:pt>
                <c:pt idx="314">
                  <c:v>44862</c:v>
                </c:pt>
                <c:pt idx="315">
                  <c:v>44869</c:v>
                </c:pt>
                <c:pt idx="316">
                  <c:v>44876</c:v>
                </c:pt>
                <c:pt idx="317">
                  <c:v>44883</c:v>
                </c:pt>
                <c:pt idx="318">
                  <c:v>44890</c:v>
                </c:pt>
                <c:pt idx="319">
                  <c:v>44897</c:v>
                </c:pt>
                <c:pt idx="320">
                  <c:v>44904</c:v>
                </c:pt>
                <c:pt idx="321">
                  <c:v>44911</c:v>
                </c:pt>
                <c:pt idx="322">
                  <c:v>44918</c:v>
                </c:pt>
                <c:pt idx="323">
                  <c:v>44925</c:v>
                </c:pt>
                <c:pt idx="324">
                  <c:v>44932</c:v>
                </c:pt>
                <c:pt idx="325">
                  <c:v>44939</c:v>
                </c:pt>
                <c:pt idx="326">
                  <c:v>44946</c:v>
                </c:pt>
                <c:pt idx="327">
                  <c:v>44953</c:v>
                </c:pt>
                <c:pt idx="328">
                  <c:v>44960</c:v>
                </c:pt>
                <c:pt idx="329">
                  <c:v>44967</c:v>
                </c:pt>
                <c:pt idx="330">
                  <c:v>44974</c:v>
                </c:pt>
                <c:pt idx="331">
                  <c:v>44981</c:v>
                </c:pt>
                <c:pt idx="332">
                  <c:v>44988</c:v>
                </c:pt>
                <c:pt idx="333">
                  <c:v>44995</c:v>
                </c:pt>
                <c:pt idx="334">
                  <c:v>45002</c:v>
                </c:pt>
                <c:pt idx="335">
                  <c:v>45009</c:v>
                </c:pt>
                <c:pt idx="336">
                  <c:v>45016</c:v>
                </c:pt>
                <c:pt idx="337">
                  <c:v>45023</c:v>
                </c:pt>
                <c:pt idx="338">
                  <c:v>45030</c:v>
                </c:pt>
                <c:pt idx="339">
                  <c:v>45037</c:v>
                </c:pt>
                <c:pt idx="340">
                  <c:v>45044</c:v>
                </c:pt>
                <c:pt idx="341">
                  <c:v>45051</c:v>
                </c:pt>
                <c:pt idx="342">
                  <c:v>45058</c:v>
                </c:pt>
                <c:pt idx="343">
                  <c:v>45065</c:v>
                </c:pt>
                <c:pt idx="344">
                  <c:v>45072</c:v>
                </c:pt>
                <c:pt idx="345">
                  <c:v>45079</c:v>
                </c:pt>
                <c:pt idx="346">
                  <c:v>45086</c:v>
                </c:pt>
                <c:pt idx="347">
                  <c:v>45093</c:v>
                </c:pt>
                <c:pt idx="348">
                  <c:v>45100</c:v>
                </c:pt>
                <c:pt idx="349">
                  <c:v>45107</c:v>
                </c:pt>
                <c:pt idx="350">
                  <c:v>45114</c:v>
                </c:pt>
                <c:pt idx="351">
                  <c:v>45121</c:v>
                </c:pt>
                <c:pt idx="352">
                  <c:v>45128</c:v>
                </c:pt>
                <c:pt idx="353">
                  <c:v>45135</c:v>
                </c:pt>
                <c:pt idx="354">
                  <c:v>45142</c:v>
                </c:pt>
                <c:pt idx="355">
                  <c:v>45149</c:v>
                </c:pt>
                <c:pt idx="356">
                  <c:v>45156</c:v>
                </c:pt>
                <c:pt idx="357">
                  <c:v>45163</c:v>
                </c:pt>
                <c:pt idx="358">
                  <c:v>45170</c:v>
                </c:pt>
                <c:pt idx="359">
                  <c:v>45177</c:v>
                </c:pt>
                <c:pt idx="360">
                  <c:v>45184</c:v>
                </c:pt>
                <c:pt idx="361">
                  <c:v>45191</c:v>
                </c:pt>
                <c:pt idx="362">
                  <c:v>45198</c:v>
                </c:pt>
                <c:pt idx="363">
                  <c:v>45205</c:v>
                </c:pt>
                <c:pt idx="364">
                  <c:v>45212</c:v>
                </c:pt>
                <c:pt idx="365">
                  <c:v>45219</c:v>
                </c:pt>
                <c:pt idx="366">
                  <c:v>45226</c:v>
                </c:pt>
                <c:pt idx="367">
                  <c:v>45233</c:v>
                </c:pt>
                <c:pt idx="368">
                  <c:v>45240</c:v>
                </c:pt>
                <c:pt idx="369">
                  <c:v>45247</c:v>
                </c:pt>
                <c:pt idx="370">
                  <c:v>45254</c:v>
                </c:pt>
                <c:pt idx="371">
                  <c:v>45261</c:v>
                </c:pt>
                <c:pt idx="372">
                  <c:v>45268</c:v>
                </c:pt>
                <c:pt idx="373">
                  <c:v>45275</c:v>
                </c:pt>
                <c:pt idx="374">
                  <c:v>45282</c:v>
                </c:pt>
                <c:pt idx="375">
                  <c:v>45289</c:v>
                </c:pt>
                <c:pt idx="376">
                  <c:v>45296</c:v>
                </c:pt>
                <c:pt idx="377">
                  <c:v>45303</c:v>
                </c:pt>
                <c:pt idx="378">
                  <c:v>45310</c:v>
                </c:pt>
                <c:pt idx="379">
                  <c:v>45317</c:v>
                </c:pt>
                <c:pt idx="380">
                  <c:v>45324</c:v>
                </c:pt>
                <c:pt idx="381">
                  <c:v>45331</c:v>
                </c:pt>
                <c:pt idx="382">
                  <c:v>45338</c:v>
                </c:pt>
                <c:pt idx="383">
                  <c:v>45345</c:v>
                </c:pt>
                <c:pt idx="384">
                  <c:v>45352</c:v>
                </c:pt>
                <c:pt idx="385">
                  <c:v>45359</c:v>
                </c:pt>
                <c:pt idx="386">
                  <c:v>45366</c:v>
                </c:pt>
                <c:pt idx="387">
                  <c:v>45373</c:v>
                </c:pt>
                <c:pt idx="388">
                  <c:v>45380</c:v>
                </c:pt>
                <c:pt idx="389">
                  <c:v>45387</c:v>
                </c:pt>
                <c:pt idx="390">
                  <c:v>45394</c:v>
                </c:pt>
                <c:pt idx="391">
                  <c:v>45401</c:v>
                </c:pt>
                <c:pt idx="392">
                  <c:v>45408</c:v>
                </c:pt>
                <c:pt idx="393">
                  <c:v>45415</c:v>
                </c:pt>
                <c:pt idx="394">
                  <c:v>45422</c:v>
                </c:pt>
                <c:pt idx="395">
                  <c:v>45429</c:v>
                </c:pt>
                <c:pt idx="396">
                  <c:v>45436</c:v>
                </c:pt>
                <c:pt idx="397">
                  <c:v>45443</c:v>
                </c:pt>
                <c:pt idx="398">
                  <c:v>45450</c:v>
                </c:pt>
                <c:pt idx="399">
                  <c:v>45457</c:v>
                </c:pt>
                <c:pt idx="400">
                  <c:v>45464</c:v>
                </c:pt>
                <c:pt idx="401">
                  <c:v>45471</c:v>
                </c:pt>
                <c:pt idx="402">
                  <c:v>45478</c:v>
                </c:pt>
                <c:pt idx="403">
                  <c:v>45485</c:v>
                </c:pt>
                <c:pt idx="404">
                  <c:v>45492</c:v>
                </c:pt>
                <c:pt idx="405">
                  <c:v>45499</c:v>
                </c:pt>
                <c:pt idx="406">
                  <c:v>45506</c:v>
                </c:pt>
                <c:pt idx="407">
                  <c:v>45513</c:v>
                </c:pt>
                <c:pt idx="408">
                  <c:v>45520</c:v>
                </c:pt>
                <c:pt idx="409">
                  <c:v>45527</c:v>
                </c:pt>
                <c:pt idx="410">
                  <c:v>45534</c:v>
                </c:pt>
                <c:pt idx="411">
                  <c:v>45541</c:v>
                </c:pt>
                <c:pt idx="412">
                  <c:v>45548</c:v>
                </c:pt>
                <c:pt idx="413">
                  <c:v>45555</c:v>
                </c:pt>
                <c:pt idx="414">
                  <c:v>45562</c:v>
                </c:pt>
                <c:pt idx="415">
                  <c:v>45569</c:v>
                </c:pt>
                <c:pt idx="416">
                  <c:v>45576</c:v>
                </c:pt>
                <c:pt idx="417">
                  <c:v>45583</c:v>
                </c:pt>
                <c:pt idx="418">
                  <c:v>45590</c:v>
                </c:pt>
                <c:pt idx="419">
                  <c:v>45597</c:v>
                </c:pt>
                <c:pt idx="420">
                  <c:v>45604</c:v>
                </c:pt>
                <c:pt idx="421">
                  <c:v>45611</c:v>
                </c:pt>
                <c:pt idx="422">
                  <c:v>45618</c:v>
                </c:pt>
                <c:pt idx="423">
                  <c:v>45625</c:v>
                </c:pt>
                <c:pt idx="424">
                  <c:v>45632</c:v>
                </c:pt>
                <c:pt idx="425">
                  <c:v>45639</c:v>
                </c:pt>
                <c:pt idx="426">
                  <c:v>45646</c:v>
                </c:pt>
                <c:pt idx="427">
                  <c:v>45653</c:v>
                </c:pt>
                <c:pt idx="428">
                  <c:v>45660</c:v>
                </c:pt>
                <c:pt idx="429">
                  <c:v>45667</c:v>
                </c:pt>
                <c:pt idx="430">
                  <c:v>45674</c:v>
                </c:pt>
                <c:pt idx="431">
                  <c:v>45681</c:v>
                </c:pt>
                <c:pt idx="432">
                  <c:v>45688</c:v>
                </c:pt>
                <c:pt idx="433">
                  <c:v>45695</c:v>
                </c:pt>
                <c:pt idx="434">
                  <c:v>45702</c:v>
                </c:pt>
                <c:pt idx="435">
                  <c:v>45709</c:v>
                </c:pt>
                <c:pt idx="436">
                  <c:v>45716</c:v>
                </c:pt>
                <c:pt idx="437">
                  <c:v>45723</c:v>
                </c:pt>
                <c:pt idx="438">
                  <c:v>45730</c:v>
                </c:pt>
                <c:pt idx="439">
                  <c:v>45737</c:v>
                </c:pt>
                <c:pt idx="440">
                  <c:v>45744</c:v>
                </c:pt>
                <c:pt idx="441">
                  <c:v>45751</c:v>
                </c:pt>
                <c:pt idx="442">
                  <c:v>45758</c:v>
                </c:pt>
                <c:pt idx="443">
                  <c:v>45765</c:v>
                </c:pt>
                <c:pt idx="444">
                  <c:v>45772</c:v>
                </c:pt>
                <c:pt idx="445">
                  <c:v>45779</c:v>
                </c:pt>
                <c:pt idx="446">
                  <c:v>45786</c:v>
                </c:pt>
                <c:pt idx="447">
                  <c:v>45793</c:v>
                </c:pt>
                <c:pt idx="448">
                  <c:v>45800</c:v>
                </c:pt>
                <c:pt idx="449">
                  <c:v>45807</c:v>
                </c:pt>
                <c:pt idx="450">
                  <c:v>45814</c:v>
                </c:pt>
                <c:pt idx="451">
                  <c:v>45821</c:v>
                </c:pt>
                <c:pt idx="452">
                  <c:v>45828</c:v>
                </c:pt>
                <c:pt idx="453">
                  <c:v>45835</c:v>
                </c:pt>
                <c:pt idx="454">
                  <c:v>45842</c:v>
                </c:pt>
                <c:pt idx="455">
                  <c:v>45849</c:v>
                </c:pt>
                <c:pt idx="456">
                  <c:v>45856</c:v>
                </c:pt>
                <c:pt idx="457">
                  <c:v>45863</c:v>
                </c:pt>
                <c:pt idx="458">
                  <c:v>45870</c:v>
                </c:pt>
                <c:pt idx="459">
                  <c:v>45877</c:v>
                </c:pt>
                <c:pt idx="460">
                  <c:v>45884</c:v>
                </c:pt>
                <c:pt idx="461">
                  <c:v>45891</c:v>
                </c:pt>
                <c:pt idx="462">
                  <c:v>45898</c:v>
                </c:pt>
                <c:pt idx="463">
                  <c:v>45905</c:v>
                </c:pt>
                <c:pt idx="464">
                  <c:v>45912</c:v>
                </c:pt>
                <c:pt idx="465">
                  <c:v>45919</c:v>
                </c:pt>
                <c:pt idx="466">
                  <c:v>45926</c:v>
                </c:pt>
                <c:pt idx="467">
                  <c:v>45933</c:v>
                </c:pt>
                <c:pt idx="468">
                  <c:v>45940</c:v>
                </c:pt>
                <c:pt idx="469">
                  <c:v>45947</c:v>
                </c:pt>
                <c:pt idx="470">
                  <c:v>45954</c:v>
                </c:pt>
                <c:pt idx="471">
                  <c:v>45961</c:v>
                </c:pt>
                <c:pt idx="472">
                  <c:v>45968</c:v>
                </c:pt>
                <c:pt idx="473">
                  <c:v>45975</c:v>
                </c:pt>
                <c:pt idx="474">
                  <c:v>45982</c:v>
                </c:pt>
                <c:pt idx="475">
                  <c:v>45989</c:v>
                </c:pt>
                <c:pt idx="476">
                  <c:v>45996</c:v>
                </c:pt>
                <c:pt idx="477">
                  <c:v>46003</c:v>
                </c:pt>
                <c:pt idx="478">
                  <c:v>46010</c:v>
                </c:pt>
                <c:pt idx="479">
                  <c:v>46017</c:v>
                </c:pt>
                <c:pt idx="480">
                  <c:v>46024</c:v>
                </c:pt>
                <c:pt idx="481">
                  <c:v>46031</c:v>
                </c:pt>
                <c:pt idx="482">
                  <c:v>46038</c:v>
                </c:pt>
                <c:pt idx="483">
                  <c:v>46045</c:v>
                </c:pt>
                <c:pt idx="484">
                  <c:v>46052</c:v>
                </c:pt>
                <c:pt idx="485">
                  <c:v>46059</c:v>
                </c:pt>
                <c:pt idx="486">
                  <c:v>46066</c:v>
                </c:pt>
                <c:pt idx="487">
                  <c:v>46073</c:v>
                </c:pt>
                <c:pt idx="488">
                  <c:v>46080</c:v>
                </c:pt>
                <c:pt idx="489">
                  <c:v>46087</c:v>
                </c:pt>
                <c:pt idx="490">
                  <c:v>46094</c:v>
                </c:pt>
                <c:pt idx="491">
                  <c:v>46101</c:v>
                </c:pt>
                <c:pt idx="492">
                  <c:v>46108</c:v>
                </c:pt>
                <c:pt idx="493">
                  <c:v>46115</c:v>
                </c:pt>
                <c:pt idx="494">
                  <c:v>46122</c:v>
                </c:pt>
                <c:pt idx="495">
                  <c:v>46129</c:v>
                </c:pt>
                <c:pt idx="496">
                  <c:v>46136</c:v>
                </c:pt>
                <c:pt idx="497">
                  <c:v>46143</c:v>
                </c:pt>
                <c:pt idx="498">
                  <c:v>46150</c:v>
                </c:pt>
                <c:pt idx="499">
                  <c:v>46157</c:v>
                </c:pt>
                <c:pt idx="500">
                  <c:v>46164</c:v>
                </c:pt>
                <c:pt idx="501">
                  <c:v>46171</c:v>
                </c:pt>
                <c:pt idx="502">
                  <c:v>46178</c:v>
                </c:pt>
                <c:pt idx="503">
                  <c:v>46185</c:v>
                </c:pt>
                <c:pt idx="504">
                  <c:v>46192</c:v>
                </c:pt>
                <c:pt idx="505">
                  <c:v>46199</c:v>
                </c:pt>
                <c:pt idx="506">
                  <c:v>46206</c:v>
                </c:pt>
                <c:pt idx="507">
                  <c:v>46213</c:v>
                </c:pt>
                <c:pt idx="508">
                  <c:v>46220</c:v>
                </c:pt>
                <c:pt idx="509">
                  <c:v>46227</c:v>
                </c:pt>
                <c:pt idx="510">
                  <c:v>46234</c:v>
                </c:pt>
                <c:pt idx="511">
                  <c:v>46241</c:v>
                </c:pt>
                <c:pt idx="512">
                  <c:v>46248</c:v>
                </c:pt>
                <c:pt idx="513">
                  <c:v>46255</c:v>
                </c:pt>
                <c:pt idx="514">
                  <c:v>46262</c:v>
                </c:pt>
                <c:pt idx="515">
                  <c:v>46269</c:v>
                </c:pt>
                <c:pt idx="516">
                  <c:v>46276</c:v>
                </c:pt>
                <c:pt idx="517">
                  <c:v>46283</c:v>
                </c:pt>
                <c:pt idx="518">
                  <c:v>46290</c:v>
                </c:pt>
                <c:pt idx="519">
                  <c:v>46297</c:v>
                </c:pt>
                <c:pt idx="520">
                  <c:v>46304</c:v>
                </c:pt>
              </c:numCache>
            </c:numRef>
          </c:cat>
          <c:val>
            <c:numRef>
              <c:f>Data!$R$6:$R$526</c:f>
              <c:numCache>
                <c:formatCode>0.0</c:formatCode>
                <c:ptCount val="521"/>
                <c:pt idx="0">
                  <c:v>100</c:v>
                </c:pt>
                <c:pt idx="1">
                  <c:v>99.308798804408767</c:v>
                </c:pt>
                <c:pt idx="2">
                  <c:v>97.384644124789844</c:v>
                </c:pt>
                <c:pt idx="3">
                  <c:v>101.0835045768728</c:v>
                </c:pt>
                <c:pt idx="4">
                  <c:v>101.90080328787599</c:v>
                </c:pt>
                <c:pt idx="5">
                  <c:v>103.36727068933311</c:v>
                </c:pt>
                <c:pt idx="6">
                  <c:v>102.36783112273494</c:v>
                </c:pt>
                <c:pt idx="7">
                  <c:v>105.5249392863815</c:v>
                </c:pt>
                <c:pt idx="8">
                  <c:v>105.45955538950123</c:v>
                </c:pt>
                <c:pt idx="9">
                  <c:v>105.72576125537086</c:v>
                </c:pt>
                <c:pt idx="10">
                  <c:v>104.55819166822346</c:v>
                </c:pt>
                <c:pt idx="11">
                  <c:v>106.34223799738467</c:v>
                </c:pt>
                <c:pt idx="12">
                  <c:v>106.23015131701852</c:v>
                </c:pt>
                <c:pt idx="13">
                  <c:v>106.07603213151508</c:v>
                </c:pt>
                <c:pt idx="14">
                  <c:v>107.16887726508502</c:v>
                </c:pt>
                <c:pt idx="15">
                  <c:v>107.29497478049694</c:v>
                </c:pt>
                <c:pt idx="16">
                  <c:v>108.16831683168319</c:v>
                </c:pt>
                <c:pt idx="17">
                  <c:v>109.80758453203812</c:v>
                </c:pt>
                <c:pt idx="18">
                  <c:v>110.55949934616105</c:v>
                </c:pt>
                <c:pt idx="19">
                  <c:v>111.29740332523819</c:v>
                </c:pt>
                <c:pt idx="20">
                  <c:v>110.80702409863628</c:v>
                </c:pt>
                <c:pt idx="21">
                  <c:v>111.06855968615729</c:v>
                </c:pt>
                <c:pt idx="22">
                  <c:v>109.47132449093966</c:v>
                </c:pt>
                <c:pt idx="23">
                  <c:v>110.34466654212591</c:v>
                </c:pt>
                <c:pt idx="24">
                  <c:v>110.00840650102747</c:v>
                </c:pt>
                <c:pt idx="25">
                  <c:v>108.76611246030264</c:v>
                </c:pt>
                <c:pt idx="26">
                  <c:v>109.69082757332335</c:v>
                </c:pt>
                <c:pt idx="27">
                  <c:v>111.34877638707265</c:v>
                </c:pt>
                <c:pt idx="28">
                  <c:v>112.05398841770969</c:v>
                </c:pt>
                <c:pt idx="29">
                  <c:v>111.66168503642817</c:v>
                </c:pt>
                <c:pt idx="30">
                  <c:v>111.23201942835792</c:v>
                </c:pt>
                <c:pt idx="31">
                  <c:v>112.82458434522697</c:v>
                </c:pt>
                <c:pt idx="32">
                  <c:v>113.91275920044832</c:v>
                </c:pt>
                <c:pt idx="33">
                  <c:v>113.5718288810013</c:v>
                </c:pt>
                <c:pt idx="34">
                  <c:v>113.63721277788153</c:v>
                </c:pt>
                <c:pt idx="35">
                  <c:v>113.8753969736596</c:v>
                </c:pt>
                <c:pt idx="36">
                  <c:v>113.17952549971976</c:v>
                </c:pt>
                <c:pt idx="37">
                  <c:v>113.26359050999434</c:v>
                </c:pt>
                <c:pt idx="38">
                  <c:v>114.8561554268634</c:v>
                </c:pt>
                <c:pt idx="39">
                  <c:v>115.4726321688772</c:v>
                </c:pt>
                <c:pt idx="40">
                  <c:v>115.45395105548283</c:v>
                </c:pt>
                <c:pt idx="41">
                  <c:v>115.67345413786654</c:v>
                </c:pt>
                <c:pt idx="42">
                  <c:v>114.01550532411724</c:v>
                </c:pt>
                <c:pt idx="43">
                  <c:v>113.28227162338867</c:v>
                </c:pt>
                <c:pt idx="44">
                  <c:v>114.09957033439184</c:v>
                </c:pt>
                <c:pt idx="45">
                  <c:v>115.66411358116936</c:v>
                </c:pt>
                <c:pt idx="46">
                  <c:v>114.95423127218375</c:v>
                </c:pt>
                <c:pt idx="47">
                  <c:v>116.76629927143648</c:v>
                </c:pt>
                <c:pt idx="48">
                  <c:v>116.85970483840828</c:v>
                </c:pt>
                <c:pt idx="49">
                  <c:v>117.66299271436569</c:v>
                </c:pt>
                <c:pt idx="50">
                  <c:v>119.05940594059398</c:v>
                </c:pt>
                <c:pt idx="51">
                  <c:v>119.24154679618896</c:v>
                </c:pt>
                <c:pt idx="52">
                  <c:v>120.26900803287867</c:v>
                </c:pt>
                <c:pt idx="53">
                  <c:v>120.54455445544546</c:v>
                </c:pt>
                <c:pt idx="54">
                  <c:v>120.85746310480097</c:v>
                </c:pt>
                <c:pt idx="55">
                  <c:v>120.60059779562854</c:v>
                </c:pt>
                <c:pt idx="56">
                  <c:v>120.4371380534279</c:v>
                </c:pt>
                <c:pt idx="57">
                  <c:v>121.53932374369504</c:v>
                </c:pt>
                <c:pt idx="58">
                  <c:v>123.39809452643368</c:v>
                </c:pt>
                <c:pt idx="59">
                  <c:v>123.83243041285252</c:v>
                </c:pt>
                <c:pt idx="60">
                  <c:v>124.9673080515598</c:v>
                </c:pt>
                <c:pt idx="61">
                  <c:v>125.31757892770401</c:v>
                </c:pt>
                <c:pt idx="62">
                  <c:v>124.8645619278908</c:v>
                </c:pt>
                <c:pt idx="63">
                  <c:v>128.11507565850914</c:v>
                </c:pt>
                <c:pt idx="64">
                  <c:v>130.12329534840268</c:v>
                </c:pt>
                <c:pt idx="65">
                  <c:v>131.24883243041279</c:v>
                </c:pt>
                <c:pt idx="66">
                  <c:v>134.17242667662987</c:v>
                </c:pt>
                <c:pt idx="67">
                  <c:v>128.99775826639259</c:v>
                </c:pt>
                <c:pt idx="68">
                  <c:v>122.34261161965244</c:v>
                </c:pt>
                <c:pt idx="69">
                  <c:v>127.6013450401643</c:v>
                </c:pt>
                <c:pt idx="70">
                  <c:v>128.30655707080135</c:v>
                </c:pt>
                <c:pt idx="71">
                  <c:v>125.68653091724258</c:v>
                </c:pt>
                <c:pt idx="72">
                  <c:v>130.14197646179704</c:v>
                </c:pt>
                <c:pt idx="73">
                  <c:v>128.52606015318506</c:v>
                </c:pt>
                <c:pt idx="74">
                  <c:v>120.88081449654393</c:v>
                </c:pt>
                <c:pt idx="75">
                  <c:v>123.33738090790204</c:v>
                </c:pt>
                <c:pt idx="76">
                  <c:v>121.63739958901543</c:v>
                </c:pt>
                <c:pt idx="77">
                  <c:v>124.05660377358484</c:v>
                </c:pt>
                <c:pt idx="78">
                  <c:v>124.7011021856902</c:v>
                </c:pt>
                <c:pt idx="79">
                  <c:v>124.69176162899304</c:v>
                </c:pt>
                <c:pt idx="80">
                  <c:v>124.38819353633471</c:v>
                </c:pt>
                <c:pt idx="81">
                  <c:v>127.39118251447779</c:v>
                </c:pt>
                <c:pt idx="82">
                  <c:v>126.70465159723514</c:v>
                </c:pt>
                <c:pt idx="83">
                  <c:v>127.09228470016807</c:v>
                </c:pt>
                <c:pt idx="84">
                  <c:v>127.71343172053047</c:v>
                </c:pt>
                <c:pt idx="85">
                  <c:v>129.78703530730422</c:v>
                </c:pt>
                <c:pt idx="86">
                  <c:v>129.81972725574434</c:v>
                </c:pt>
                <c:pt idx="87">
                  <c:v>128.66149822529414</c:v>
                </c:pt>
                <c:pt idx="88">
                  <c:v>126.95684662805894</c:v>
                </c:pt>
                <c:pt idx="89">
                  <c:v>128.89034186437502</c:v>
                </c:pt>
                <c:pt idx="90">
                  <c:v>130.82850737903968</c:v>
                </c:pt>
                <c:pt idx="91">
                  <c:v>130.85185877078263</c:v>
                </c:pt>
                <c:pt idx="92">
                  <c:v>131.64580609004287</c:v>
                </c:pt>
                <c:pt idx="93">
                  <c:v>132.64991593498965</c:v>
                </c:pt>
                <c:pt idx="94">
                  <c:v>132.32299645058839</c:v>
                </c:pt>
                <c:pt idx="95">
                  <c:v>133.10760321315144</c:v>
                </c:pt>
                <c:pt idx="96">
                  <c:v>134.25649168690447</c:v>
                </c:pt>
                <c:pt idx="97">
                  <c:v>135.50812628432647</c:v>
                </c:pt>
                <c:pt idx="98">
                  <c:v>134.11638333644677</c:v>
                </c:pt>
                <c:pt idx="99">
                  <c:v>135.67158602652711</c:v>
                </c:pt>
                <c:pt idx="100">
                  <c:v>136.82514477862873</c:v>
                </c:pt>
                <c:pt idx="101">
                  <c:v>136.09191107790016</c:v>
                </c:pt>
                <c:pt idx="102">
                  <c:v>134.76555202690071</c:v>
                </c:pt>
                <c:pt idx="103">
                  <c:v>129.23127218382206</c:v>
                </c:pt>
                <c:pt idx="104">
                  <c:v>129.2639641322622</c:v>
                </c:pt>
                <c:pt idx="105">
                  <c:v>124.16869045395097</c:v>
                </c:pt>
                <c:pt idx="106">
                  <c:v>127.17634971044266</c:v>
                </c:pt>
                <c:pt idx="107">
                  <c:v>129.88044087427605</c:v>
                </c:pt>
                <c:pt idx="108">
                  <c:v>127.79282645245651</c:v>
                </c:pt>
                <c:pt idx="109">
                  <c:v>122.94974780496911</c:v>
                </c:pt>
                <c:pt idx="110">
                  <c:v>128.90902297776941</c:v>
                </c:pt>
                <c:pt idx="111">
                  <c:v>122.97309919671207</c:v>
                </c:pt>
                <c:pt idx="112">
                  <c:v>121.42256678498035</c:v>
                </c:pt>
                <c:pt idx="113">
                  <c:v>112.86194657201565</c:v>
                </c:pt>
                <c:pt idx="114">
                  <c:v>116.08910891089104</c:v>
                </c:pt>
                <c:pt idx="115">
                  <c:v>118.24864561927889</c:v>
                </c:pt>
                <c:pt idx="116">
                  <c:v>121.2525686530917</c:v>
                </c:pt>
                <c:pt idx="117">
                  <c:v>124.72959088361664</c:v>
                </c:pt>
                <c:pt idx="118">
                  <c:v>124.45170932187557</c:v>
                </c:pt>
                <c:pt idx="119">
                  <c:v>126.40248458808144</c:v>
                </c:pt>
                <c:pt idx="120">
                  <c:v>126.46553334578741</c:v>
                </c:pt>
                <c:pt idx="121">
                  <c:v>129.62824584345228</c:v>
                </c:pt>
                <c:pt idx="122">
                  <c:v>130.42546235755651</c:v>
                </c:pt>
                <c:pt idx="123">
                  <c:v>130.94012703157108</c:v>
                </c:pt>
                <c:pt idx="124">
                  <c:v>128.10900429665608</c:v>
                </c:pt>
                <c:pt idx="125">
                  <c:v>131.81767233327105</c:v>
                </c:pt>
                <c:pt idx="126">
                  <c:v>130.8009527367831</c:v>
                </c:pt>
                <c:pt idx="127">
                  <c:v>132.37436951242293</c:v>
                </c:pt>
                <c:pt idx="128">
                  <c:v>135.09900990099007</c:v>
                </c:pt>
                <c:pt idx="129">
                  <c:v>135.78413973472817</c:v>
                </c:pt>
                <c:pt idx="130">
                  <c:v>135.67298711003176</c:v>
                </c:pt>
                <c:pt idx="131">
                  <c:v>137.30057911451522</c:v>
                </c:pt>
                <c:pt idx="132">
                  <c:v>137.56958714739397</c:v>
                </c:pt>
                <c:pt idx="133">
                  <c:v>134.56940033626003</c:v>
                </c:pt>
                <c:pt idx="134">
                  <c:v>133.5480104614235</c:v>
                </c:pt>
                <c:pt idx="135">
                  <c:v>131.98486829815056</c:v>
                </c:pt>
                <c:pt idx="136">
                  <c:v>128.52886232019426</c:v>
                </c:pt>
                <c:pt idx="137">
                  <c:v>134.1929759013637</c:v>
                </c:pt>
                <c:pt idx="138">
                  <c:v>134.83000186811131</c:v>
                </c:pt>
                <c:pt idx="139">
                  <c:v>137.79469456379596</c:v>
                </c:pt>
                <c:pt idx="140">
                  <c:v>137.38838034746868</c:v>
                </c:pt>
                <c:pt idx="141">
                  <c:v>139.66047076405749</c:v>
                </c:pt>
                <c:pt idx="142">
                  <c:v>140.751447786288</c:v>
                </c:pt>
                <c:pt idx="143">
                  <c:v>139.01597235195212</c:v>
                </c:pt>
                <c:pt idx="144">
                  <c:v>141.31608443863249</c:v>
                </c:pt>
                <c:pt idx="145">
                  <c:v>136.93489631982061</c:v>
                </c:pt>
                <c:pt idx="146">
                  <c:v>136.3090790211096</c:v>
                </c:pt>
                <c:pt idx="147">
                  <c:v>134.9093966000373</c:v>
                </c:pt>
                <c:pt idx="148">
                  <c:v>132.96796189052861</c:v>
                </c:pt>
                <c:pt idx="149">
                  <c:v>136.67382776013443</c:v>
                </c:pt>
                <c:pt idx="150">
                  <c:v>139.1140481972725</c:v>
                </c:pt>
                <c:pt idx="151">
                  <c:v>140.45348402764796</c:v>
                </c:pt>
                <c:pt idx="152">
                  <c:v>139.73799738464405</c:v>
                </c:pt>
                <c:pt idx="153">
                  <c:v>138.32383710069112</c:v>
                </c:pt>
                <c:pt idx="154">
                  <c:v>137.86708387819908</c:v>
                </c:pt>
                <c:pt idx="155">
                  <c:v>138.71987670465151</c:v>
                </c:pt>
                <c:pt idx="156">
                  <c:v>139.46385204558183</c:v>
                </c:pt>
                <c:pt idx="157">
                  <c:v>141.16149822529417</c:v>
                </c:pt>
                <c:pt idx="158">
                  <c:v>143.23323370072848</c:v>
                </c:pt>
                <c:pt idx="159">
                  <c:v>144.45544554455438</c:v>
                </c:pt>
                <c:pt idx="160">
                  <c:v>145.73416775639819</c:v>
                </c:pt>
                <c:pt idx="161">
                  <c:v>145.25920044834663</c:v>
                </c:pt>
                <c:pt idx="162">
                  <c:v>146.69250887352877</c:v>
                </c:pt>
                <c:pt idx="163">
                  <c:v>146.92275359611421</c:v>
                </c:pt>
                <c:pt idx="164">
                  <c:v>147.99178031010638</c:v>
                </c:pt>
                <c:pt idx="165">
                  <c:v>150.43994022043702</c:v>
                </c:pt>
                <c:pt idx="166">
                  <c:v>151.31795254997189</c:v>
                </c:pt>
                <c:pt idx="167">
                  <c:v>151.07649915934979</c:v>
                </c:pt>
                <c:pt idx="168">
                  <c:v>152.50093405566963</c:v>
                </c:pt>
                <c:pt idx="169">
                  <c:v>155.50252195030814</c:v>
                </c:pt>
                <c:pt idx="170">
                  <c:v>153.90762189426479</c:v>
                </c:pt>
                <c:pt idx="171">
                  <c:v>150.6407621894264</c:v>
                </c:pt>
                <c:pt idx="172">
                  <c:v>155.41331963385008</c:v>
                </c:pt>
                <c:pt idx="173">
                  <c:v>157.86288062768529</c:v>
                </c:pt>
                <c:pt idx="174">
                  <c:v>155.88221558004847</c:v>
                </c:pt>
                <c:pt idx="175">
                  <c:v>137.97029702970286</c:v>
                </c:pt>
                <c:pt idx="176">
                  <c:v>138.81795254997189</c:v>
                </c:pt>
                <c:pt idx="177">
                  <c:v>126.61218008593305</c:v>
                </c:pt>
                <c:pt idx="178">
                  <c:v>107.6461797123108</c:v>
                </c:pt>
                <c:pt idx="179">
                  <c:v>118.69372314589941</c:v>
                </c:pt>
                <c:pt idx="180">
                  <c:v>116.2268821221744</c:v>
                </c:pt>
                <c:pt idx="181">
                  <c:v>130.29235942462162</c:v>
                </c:pt>
                <c:pt idx="182">
                  <c:v>134.24995329721639</c:v>
                </c:pt>
                <c:pt idx="183">
                  <c:v>132.4836540257798</c:v>
                </c:pt>
                <c:pt idx="184">
                  <c:v>132.20203624135985</c:v>
                </c:pt>
                <c:pt idx="185">
                  <c:v>136.82981505697728</c:v>
                </c:pt>
                <c:pt idx="186">
                  <c:v>133.74276106855956</c:v>
                </c:pt>
                <c:pt idx="187">
                  <c:v>138.02774145339049</c:v>
                </c:pt>
                <c:pt idx="188">
                  <c:v>142.17775079394718</c:v>
                </c:pt>
                <c:pt idx="189">
                  <c:v>149.16542125910689</c:v>
                </c:pt>
                <c:pt idx="190">
                  <c:v>142.03764244348949</c:v>
                </c:pt>
                <c:pt idx="191">
                  <c:v>144.67308051559857</c:v>
                </c:pt>
                <c:pt idx="192">
                  <c:v>140.53101064823451</c:v>
                </c:pt>
                <c:pt idx="193">
                  <c:v>146.18017933868848</c:v>
                </c:pt>
                <c:pt idx="194">
                  <c:v>148.75023351391732</c:v>
                </c:pt>
                <c:pt idx="195">
                  <c:v>150.60386699047251</c:v>
                </c:pt>
                <c:pt idx="196">
                  <c:v>150.17887166075087</c:v>
                </c:pt>
                <c:pt idx="197">
                  <c:v>152.77040911638321</c:v>
                </c:pt>
                <c:pt idx="198">
                  <c:v>156.5141042406126</c:v>
                </c:pt>
                <c:pt idx="199">
                  <c:v>157.52148328040334</c:v>
                </c:pt>
                <c:pt idx="200">
                  <c:v>158.65682794694547</c:v>
                </c:pt>
                <c:pt idx="201">
                  <c:v>163.83383149635702</c:v>
                </c:pt>
                <c:pt idx="202">
                  <c:v>160.04857089482516</c:v>
                </c:pt>
                <c:pt idx="203">
                  <c:v>156.03259854287299</c:v>
                </c:pt>
                <c:pt idx="204">
                  <c:v>155.02848869792624</c:v>
                </c:pt>
                <c:pt idx="205">
                  <c:v>154.04726321688759</c:v>
                </c:pt>
                <c:pt idx="206">
                  <c:v>156.38146833551266</c:v>
                </c:pt>
                <c:pt idx="207">
                  <c:v>162.39164954231259</c:v>
                </c:pt>
                <c:pt idx="208">
                  <c:v>162.70362413599838</c:v>
                </c:pt>
                <c:pt idx="209">
                  <c:v>161.84335886418819</c:v>
                </c:pt>
                <c:pt idx="210">
                  <c:v>152.7162338875396</c:v>
                </c:pt>
                <c:pt idx="211">
                  <c:v>163.90061647674193</c:v>
                </c:pt>
                <c:pt idx="212">
                  <c:v>167.43648421445911</c:v>
                </c:pt>
                <c:pt idx="213">
                  <c:v>166.14702036241351</c:v>
                </c:pt>
                <c:pt idx="214">
                  <c:v>169.92107229590877</c:v>
                </c:pt>
                <c:pt idx="215">
                  <c:v>172.75920044834666</c:v>
                </c:pt>
                <c:pt idx="216">
                  <c:v>171.09377918923963</c:v>
                </c:pt>
                <c:pt idx="217">
                  <c:v>173.23977209041652</c:v>
                </c:pt>
                <c:pt idx="218">
                  <c:v>172.9432094152811</c:v>
                </c:pt>
                <c:pt idx="219">
                  <c:v>175.41892396786847</c:v>
                </c:pt>
                <c:pt idx="220">
                  <c:v>178.62320194283575</c:v>
                </c:pt>
                <c:pt idx="221">
                  <c:v>175.98776387072667</c:v>
                </c:pt>
                <c:pt idx="222">
                  <c:v>179.40734167756395</c:v>
                </c:pt>
                <c:pt idx="223">
                  <c:v>173.46534653465343</c:v>
                </c:pt>
                <c:pt idx="224">
                  <c:v>181.52577993648421</c:v>
                </c:pt>
                <c:pt idx="225">
                  <c:v>183.76751354380721</c:v>
                </c:pt>
                <c:pt idx="226">
                  <c:v>182.45423127218382</c:v>
                </c:pt>
                <c:pt idx="227">
                  <c:v>177.99131328227162</c:v>
                </c:pt>
                <c:pt idx="228">
                  <c:v>179.42929198580234</c:v>
                </c:pt>
                <c:pt idx="229">
                  <c:v>184.16495423127219</c:v>
                </c:pt>
                <c:pt idx="230">
                  <c:v>182.7526620586587</c:v>
                </c:pt>
                <c:pt idx="231">
                  <c:v>185.62208107603215</c:v>
                </c:pt>
                <c:pt idx="232">
                  <c:v>187.73911825144782</c:v>
                </c:pt>
                <c:pt idx="233">
                  <c:v>192.82645245656644</c:v>
                </c:pt>
                <c:pt idx="234">
                  <c:v>195.47309919671216</c:v>
                </c:pt>
                <c:pt idx="235">
                  <c:v>195.22557444423691</c:v>
                </c:pt>
                <c:pt idx="236">
                  <c:v>195.27227722772278</c:v>
                </c:pt>
                <c:pt idx="237">
                  <c:v>197.6742013824024</c:v>
                </c:pt>
                <c:pt idx="238">
                  <c:v>194.93041285260603</c:v>
                </c:pt>
                <c:pt idx="239">
                  <c:v>194.09022977769473</c:v>
                </c:pt>
                <c:pt idx="240">
                  <c:v>196.3436390808892</c:v>
                </c:pt>
                <c:pt idx="241">
                  <c:v>197.54763683915564</c:v>
                </c:pt>
                <c:pt idx="242">
                  <c:v>198.36727068933305</c:v>
                </c:pt>
                <c:pt idx="243">
                  <c:v>194.58481225481037</c:v>
                </c:pt>
                <c:pt idx="244">
                  <c:v>199.92060526807398</c:v>
                </c:pt>
                <c:pt idx="245">
                  <c:v>203.26639267700355</c:v>
                </c:pt>
                <c:pt idx="246">
                  <c:v>204.07014758079583</c:v>
                </c:pt>
                <c:pt idx="247">
                  <c:v>202.0904165888287</c:v>
                </c:pt>
                <c:pt idx="248">
                  <c:v>206.04287315524007</c:v>
                </c:pt>
                <c:pt idx="249">
                  <c:v>205.27087614421825</c:v>
                </c:pt>
                <c:pt idx="250">
                  <c:v>207.19783299084634</c:v>
                </c:pt>
                <c:pt idx="251">
                  <c:v>208.66803661498233</c:v>
                </c:pt>
                <c:pt idx="252">
                  <c:v>207.43835232579869</c:v>
                </c:pt>
                <c:pt idx="253">
                  <c:v>210.60013076779381</c:v>
                </c:pt>
                <c:pt idx="254">
                  <c:v>211.81720530543629</c:v>
                </c:pt>
                <c:pt idx="255">
                  <c:v>208.22809639454519</c:v>
                </c:pt>
                <c:pt idx="256">
                  <c:v>207.0329721651411</c:v>
                </c:pt>
                <c:pt idx="257">
                  <c:v>208.08331776573888</c:v>
                </c:pt>
                <c:pt idx="258">
                  <c:v>203.48589575938732</c:v>
                </c:pt>
                <c:pt idx="259">
                  <c:v>205.08780123295355</c:v>
                </c:pt>
                <c:pt idx="260">
                  <c:v>208.82542499532977</c:v>
                </c:pt>
                <c:pt idx="261">
                  <c:v>212.25948066504768</c:v>
                </c:pt>
                <c:pt idx="262">
                  <c:v>215.08406501027466</c:v>
                </c:pt>
                <c:pt idx="263">
                  <c:v>219.38772650849992</c:v>
                </c:pt>
                <c:pt idx="264">
                  <c:v>218.70212964692701</c:v>
                </c:pt>
                <c:pt idx="265">
                  <c:v>219.40780870539885</c:v>
                </c:pt>
                <c:pt idx="266">
                  <c:v>214.58154305996638</c:v>
                </c:pt>
                <c:pt idx="267">
                  <c:v>211.9573136558939</c:v>
                </c:pt>
                <c:pt idx="268">
                  <c:v>220.06444984121055</c:v>
                </c:pt>
                <c:pt idx="269">
                  <c:v>215.79674948626936</c:v>
                </c:pt>
                <c:pt idx="270">
                  <c:v>220.70754716981131</c:v>
                </c:pt>
                <c:pt idx="271">
                  <c:v>222.59387259480667</c:v>
                </c:pt>
                <c:pt idx="272">
                  <c:v>218.43031944703904</c:v>
                </c:pt>
                <c:pt idx="273">
                  <c:v>217.76807397720907</c:v>
                </c:pt>
                <c:pt idx="274">
                  <c:v>205.39603960396039</c:v>
                </c:pt>
                <c:pt idx="275">
                  <c:v>206.97973099196713</c:v>
                </c:pt>
                <c:pt idx="276">
                  <c:v>210.18727816177844</c:v>
                </c:pt>
                <c:pt idx="277">
                  <c:v>206.36278722211847</c:v>
                </c:pt>
                <c:pt idx="278">
                  <c:v>203.1043340183075</c:v>
                </c:pt>
                <c:pt idx="279">
                  <c:v>204.77535961143283</c:v>
                </c:pt>
                <c:pt idx="280">
                  <c:v>202.17027834858956</c:v>
                </c:pt>
                <c:pt idx="281">
                  <c:v>196.3529796375864</c:v>
                </c:pt>
                <c:pt idx="282">
                  <c:v>208.44012703157105</c:v>
                </c:pt>
                <c:pt idx="283">
                  <c:v>212.17354754343359</c:v>
                </c:pt>
                <c:pt idx="284">
                  <c:v>212.30431533719405</c:v>
                </c:pt>
                <c:pt idx="285">
                  <c:v>209.61516906407618</c:v>
                </c:pt>
                <c:pt idx="286">
                  <c:v>205.14617971231084</c:v>
                </c:pt>
                <c:pt idx="287">
                  <c:v>199.50401643937974</c:v>
                </c:pt>
                <c:pt idx="288">
                  <c:v>192.97263216887725</c:v>
                </c:pt>
                <c:pt idx="289">
                  <c:v>192.57145525873341</c:v>
                </c:pt>
                <c:pt idx="290">
                  <c:v>187.92686344106104</c:v>
                </c:pt>
                <c:pt idx="291">
                  <c:v>182.20437138053424</c:v>
                </c:pt>
                <c:pt idx="292">
                  <c:v>194.20138240239112</c:v>
                </c:pt>
                <c:pt idx="293">
                  <c:v>191.8802540631421</c:v>
                </c:pt>
                <c:pt idx="294">
                  <c:v>182.18101998879129</c:v>
                </c:pt>
                <c:pt idx="295">
                  <c:v>171.62525686530915</c:v>
                </c:pt>
                <c:pt idx="296">
                  <c:v>182.68914627311784</c:v>
                </c:pt>
                <c:pt idx="297">
                  <c:v>178.65355875210159</c:v>
                </c:pt>
                <c:pt idx="298">
                  <c:v>182.11189986923216</c:v>
                </c:pt>
                <c:pt idx="299">
                  <c:v>180.420325051373</c:v>
                </c:pt>
                <c:pt idx="300">
                  <c:v>185.01914814122915</c:v>
                </c:pt>
                <c:pt idx="301">
                  <c:v>192.8960396039603</c:v>
                </c:pt>
                <c:pt idx="302">
                  <c:v>193.59191107790011</c:v>
                </c:pt>
                <c:pt idx="303">
                  <c:v>199.89491873715662</c:v>
                </c:pt>
                <c:pt idx="304">
                  <c:v>197.48178591444039</c:v>
                </c:pt>
                <c:pt idx="305">
                  <c:v>189.50401643937968</c:v>
                </c:pt>
                <c:pt idx="306">
                  <c:v>183.2738651223612</c:v>
                </c:pt>
                <c:pt idx="307">
                  <c:v>189.95703343919286</c:v>
                </c:pt>
                <c:pt idx="308">
                  <c:v>180.8952923594245</c:v>
                </c:pt>
                <c:pt idx="309">
                  <c:v>172.48412105361467</c:v>
                </c:pt>
                <c:pt idx="310">
                  <c:v>167.45843452269744</c:v>
                </c:pt>
                <c:pt idx="311">
                  <c:v>169.98225294227524</c:v>
                </c:pt>
                <c:pt idx="312">
                  <c:v>167.33934242480839</c:v>
                </c:pt>
                <c:pt idx="313">
                  <c:v>175.26387072669519</c:v>
                </c:pt>
                <c:pt idx="314">
                  <c:v>182.19036054548837</c:v>
                </c:pt>
                <c:pt idx="315">
                  <c:v>176.09518027274413</c:v>
                </c:pt>
                <c:pt idx="316">
                  <c:v>186.48094526433761</c:v>
                </c:pt>
                <c:pt idx="317">
                  <c:v>185.19241546796175</c:v>
                </c:pt>
                <c:pt idx="318">
                  <c:v>188.03101064823448</c:v>
                </c:pt>
                <c:pt idx="319">
                  <c:v>190.15972351952161</c:v>
                </c:pt>
                <c:pt idx="320">
                  <c:v>183.74649729123843</c:v>
                </c:pt>
                <c:pt idx="321">
                  <c:v>179.91593498972526</c:v>
                </c:pt>
                <c:pt idx="322">
                  <c:v>179.56379600224159</c:v>
                </c:pt>
                <c:pt idx="323">
                  <c:v>179.31533719409663</c:v>
                </c:pt>
                <c:pt idx="324">
                  <c:v>181.9110779002427</c:v>
                </c:pt>
                <c:pt idx="325">
                  <c:v>186.76863441061073</c:v>
                </c:pt>
                <c:pt idx="326">
                  <c:v>185.53194470390423</c:v>
                </c:pt>
                <c:pt idx="327">
                  <c:v>190.10648234634772</c:v>
                </c:pt>
                <c:pt idx="328">
                  <c:v>193.18512983373796</c:v>
                </c:pt>
                <c:pt idx="329">
                  <c:v>191.03586773771707</c:v>
                </c:pt>
                <c:pt idx="330">
                  <c:v>190.50485708948244</c:v>
                </c:pt>
                <c:pt idx="331">
                  <c:v>185.41191855034549</c:v>
                </c:pt>
                <c:pt idx="332">
                  <c:v>188.94264898187922</c:v>
                </c:pt>
                <c:pt idx="333">
                  <c:v>180.34700168130013</c:v>
                </c:pt>
                <c:pt idx="334">
                  <c:v>182.91798991219866</c:v>
                </c:pt>
                <c:pt idx="335">
                  <c:v>185.45628619465708</c:v>
                </c:pt>
                <c:pt idx="336">
                  <c:v>191.91621520642622</c:v>
                </c:pt>
                <c:pt idx="337">
                  <c:v>191.71586026527171</c:v>
                </c:pt>
                <c:pt idx="338">
                  <c:v>193.23930506258162</c:v>
                </c:pt>
                <c:pt idx="339">
                  <c:v>193.04688959461976</c:v>
                </c:pt>
                <c:pt idx="340">
                  <c:v>194.72632168877252</c:v>
                </c:pt>
                <c:pt idx="341">
                  <c:v>193.1743881935362</c:v>
                </c:pt>
                <c:pt idx="342">
                  <c:v>192.60601531851285</c:v>
                </c:pt>
                <c:pt idx="343">
                  <c:v>195.77713431720517</c:v>
                </c:pt>
                <c:pt idx="344">
                  <c:v>196.4062208107602</c:v>
                </c:pt>
                <c:pt idx="345">
                  <c:v>199.99859891649533</c:v>
                </c:pt>
                <c:pt idx="346">
                  <c:v>200.76872781617772</c:v>
                </c:pt>
                <c:pt idx="347">
                  <c:v>205.94012703157097</c:v>
                </c:pt>
                <c:pt idx="348">
                  <c:v>203.07911451522497</c:v>
                </c:pt>
                <c:pt idx="349">
                  <c:v>207.84513356996064</c:v>
                </c:pt>
                <c:pt idx="350">
                  <c:v>205.44320941528099</c:v>
                </c:pt>
                <c:pt idx="351">
                  <c:v>210.41565477302433</c:v>
                </c:pt>
                <c:pt idx="352">
                  <c:v>211.85970483840822</c:v>
                </c:pt>
                <c:pt idx="353">
                  <c:v>214.00289557257597</c:v>
                </c:pt>
                <c:pt idx="354">
                  <c:v>209.13646553334564</c:v>
                </c:pt>
                <c:pt idx="355">
                  <c:v>208.48356062021284</c:v>
                </c:pt>
                <c:pt idx="356">
                  <c:v>204.07762002615343</c:v>
                </c:pt>
                <c:pt idx="357">
                  <c:v>205.75892023164567</c:v>
                </c:pt>
                <c:pt idx="358">
                  <c:v>210.8990285821034</c:v>
                </c:pt>
                <c:pt idx="359">
                  <c:v>208.17719036054538</c:v>
                </c:pt>
                <c:pt idx="360">
                  <c:v>207.84233140295149</c:v>
                </c:pt>
                <c:pt idx="361">
                  <c:v>201.75882682607872</c:v>
                </c:pt>
                <c:pt idx="362">
                  <c:v>200.26387072669519</c:v>
                </c:pt>
                <c:pt idx="363">
                  <c:v>201.21894264898174</c:v>
                </c:pt>
                <c:pt idx="364">
                  <c:v>202.11937231458981</c:v>
                </c:pt>
                <c:pt idx="365">
                  <c:v>197.2800298897813</c:v>
                </c:pt>
                <c:pt idx="366">
                  <c:v>192.29263964132249</c:v>
                </c:pt>
                <c:pt idx="367">
                  <c:v>203.5466093779188</c:v>
                </c:pt>
                <c:pt idx="368">
                  <c:v>206.20399775826627</c:v>
                </c:pt>
                <c:pt idx="369">
                  <c:v>210.81729871100308</c:v>
                </c:pt>
                <c:pt idx="370">
                  <c:v>212.93386885858385</c:v>
                </c:pt>
                <c:pt idx="371">
                  <c:v>214.58201008780108</c:v>
                </c:pt>
                <c:pt idx="372">
                  <c:v>215.03689519895372</c:v>
                </c:pt>
                <c:pt idx="373">
                  <c:v>220.39930879880424</c:v>
                </c:pt>
                <c:pt idx="374">
                  <c:v>222.05445544554439</c:v>
                </c:pt>
                <c:pt idx="375">
                  <c:v>222.76433775453</c:v>
                </c:pt>
                <c:pt idx="376">
                  <c:v>219.37418270128882</c:v>
                </c:pt>
                <c:pt idx="377">
                  <c:v>223.41817672333255</c:v>
                </c:pt>
                <c:pt idx="378">
                  <c:v>226.03259854287302</c:v>
                </c:pt>
                <c:pt idx="379">
                  <c:v>228.42191294601145</c:v>
                </c:pt>
                <c:pt idx="380">
                  <c:v>231.58088922099742</c:v>
                </c:pt>
                <c:pt idx="381">
                  <c:v>234.75667849803833</c:v>
                </c:pt>
                <c:pt idx="382">
                  <c:v>233.77405193349509</c:v>
                </c:pt>
                <c:pt idx="383">
                  <c:v>237.6611246030262</c:v>
                </c:pt>
                <c:pt idx="384">
                  <c:v>239.91593498972523</c:v>
                </c:pt>
                <c:pt idx="385">
                  <c:v>239.29058471884906</c:v>
                </c:pt>
                <c:pt idx="386">
                  <c:v>238.98234634784217</c:v>
                </c:pt>
                <c:pt idx="387">
                  <c:v>244.45077526620568</c:v>
                </c:pt>
                <c:pt idx="388">
                  <c:v>245.39277040911622</c:v>
                </c:pt>
                <c:pt idx="389">
                  <c:v>243.05716420698658</c:v>
                </c:pt>
                <c:pt idx="390">
                  <c:v>239.27750793947303</c:v>
                </c:pt>
                <c:pt idx="391">
                  <c:v>231.98346721464583</c:v>
                </c:pt>
                <c:pt idx="392">
                  <c:v>238.18232766672881</c:v>
                </c:pt>
                <c:pt idx="393">
                  <c:v>239.48206613114129</c:v>
                </c:pt>
                <c:pt idx="394">
                  <c:v>243.91369325611797</c:v>
                </c:pt>
                <c:pt idx="395">
                  <c:v>247.67747057724628</c:v>
                </c:pt>
                <c:pt idx="396">
                  <c:v>247.74518961330085</c:v>
                </c:pt>
                <c:pt idx="397">
                  <c:v>246.47440687464965</c:v>
                </c:pt>
                <c:pt idx="398">
                  <c:v>249.71931627124968</c:v>
                </c:pt>
                <c:pt idx="399">
                  <c:v>253.67083878199136</c:v>
                </c:pt>
                <c:pt idx="400">
                  <c:v>255.21296469269564</c:v>
                </c:pt>
                <c:pt idx="401">
                  <c:v>255.01961516906402</c:v>
                </c:pt>
                <c:pt idx="402">
                  <c:v>260.00326919484394</c:v>
                </c:pt>
                <c:pt idx="403">
                  <c:v>262.25247524752473</c:v>
                </c:pt>
                <c:pt idx="404">
                  <c:v>257.09882308985613</c:v>
                </c:pt>
                <c:pt idx="405">
                  <c:v>254.95516532785354</c:v>
                </c:pt>
                <c:pt idx="406">
                  <c:v>249.69923407435084</c:v>
                </c:pt>
                <c:pt idx="407">
                  <c:v>249.58714739398468</c:v>
                </c:pt>
                <c:pt idx="408">
                  <c:v>259.3989351765365</c:v>
                </c:pt>
                <c:pt idx="409">
                  <c:v>263.15197085746303</c:v>
                </c:pt>
                <c:pt idx="410">
                  <c:v>263.7960022417335</c:v>
                </c:pt>
                <c:pt idx="411">
                  <c:v>252.58826826078825</c:v>
                </c:pt>
                <c:pt idx="412">
                  <c:v>262.75079394731915</c:v>
                </c:pt>
                <c:pt idx="413">
                  <c:v>266.32495796749475</c:v>
                </c:pt>
                <c:pt idx="414">
                  <c:v>267.98851111526233</c:v>
                </c:pt>
                <c:pt idx="415">
                  <c:v>268.59097702223033</c:v>
                </c:pt>
                <c:pt idx="416">
                  <c:v>271.57808705398821</c:v>
                </c:pt>
                <c:pt idx="417">
                  <c:v>273.89641322622811</c:v>
                </c:pt>
                <c:pt idx="418">
                  <c:v>271.25537082010067</c:v>
                </c:pt>
                <c:pt idx="419">
                  <c:v>267.55090603399941</c:v>
                </c:pt>
                <c:pt idx="420">
                  <c:v>280.0084065010272</c:v>
                </c:pt>
                <c:pt idx="421">
                  <c:v>274.17429478796913</c:v>
                </c:pt>
                <c:pt idx="422">
                  <c:v>278.78479357369679</c:v>
                </c:pt>
                <c:pt idx="423">
                  <c:v>281.72893704464764</c:v>
                </c:pt>
                <c:pt idx="424">
                  <c:v>284.43256118064619</c:v>
                </c:pt>
                <c:pt idx="425">
                  <c:v>282.60274612366879</c:v>
                </c:pt>
                <c:pt idx="426">
                  <c:v>276.98720343732469</c:v>
                </c:pt>
                <c:pt idx="427">
                  <c:v>278.85484774892564</c:v>
                </c:pt>
                <c:pt idx="428">
                  <c:v>277.52988978143077</c:v>
                </c:pt>
                <c:pt idx="429">
                  <c:v>272.13898748365381</c:v>
                </c:pt>
                <c:pt idx="430">
                  <c:v>280.06071361853145</c:v>
                </c:pt>
                <c:pt idx="431">
                  <c:v>284.94489071548639</c:v>
                </c:pt>
                <c:pt idx="432">
                  <c:v>282.10956473005768</c:v>
                </c:pt>
                <c:pt idx="433">
                  <c:v>281.43050625817278</c:v>
                </c:pt>
                <c:pt idx="434">
                  <c:v>285.57024098636265</c:v>
                </c:pt>
                <c:pt idx="435">
                  <c:v>280.82990846254421</c:v>
                </c:pt>
                <c:pt idx="436">
                  <c:v>278.09172426676611</c:v>
                </c:pt>
                <c:pt idx="437">
                  <c:v>269.48440127031552</c:v>
                </c:pt>
                <c:pt idx="438">
                  <c:v>263.35419390995685</c:v>
                </c:pt>
                <c:pt idx="439">
                  <c:v>264.69082757332319</c:v>
                </c:pt>
                <c:pt idx="440">
                  <c:v>260.64543246777487</c:v>
                </c:pt>
                <c:pt idx="441">
                  <c:v>236.97365963011376</c:v>
                </c:pt>
                <c:pt idx="442">
                  <c:v>250.48384083691363</c:v>
                </c:pt>
                <c:pt idx="443">
                  <c:v>246.71679432094129</c:v>
                </c:pt>
                <c:pt idx="444">
                  <c:v>258.0426863441059</c:v>
                </c:pt>
                <c:pt idx="445">
                  <c:v>265.58331776573863</c:v>
                </c:pt>
                <c:pt idx="446">
                  <c:v>264.33355127965604</c:v>
                </c:pt>
                <c:pt idx="447">
                  <c:v>278.27293106669134</c:v>
                </c:pt>
                <c:pt idx="448">
                  <c:v>271.00784606762539</c:v>
                </c:pt>
                <c:pt idx="449">
                  <c:v>276.09237810573484</c:v>
                </c:pt>
                <c:pt idx="450">
                  <c:v>280.23351391742921</c:v>
                </c:pt>
                <c:pt idx="451">
                  <c:v>279.14113581169414</c:v>
                </c:pt>
                <c:pt idx="452">
                  <c:v>278.71473939846788</c:v>
                </c:pt>
                <c:pt idx="453">
                  <c:v>288.29955165327823</c:v>
                </c:pt>
                <c:pt idx="454">
                  <c:v>293.26312348215924</c:v>
                </c:pt>
                <c:pt idx="455">
                  <c:v>292.34774892583567</c:v>
                </c:pt>
                <c:pt idx="456">
                  <c:v>294.07762002615323</c:v>
                </c:pt>
                <c:pt idx="457">
                  <c:v>298.36727068933277</c:v>
                </c:pt>
                <c:pt idx="458">
                  <c:v>291.33243041285232</c:v>
                </c:pt>
                <c:pt idx="459">
                  <c:v>298.40509994395637</c:v>
                </c:pt>
                <c:pt idx="460">
                  <c:v>301.22361292733024</c:v>
                </c:pt>
                <c:pt idx="461">
                  <c:v>302.02269755277388</c:v>
                </c:pt>
                <c:pt idx="462">
                  <c:v>301.71212404259268</c:v>
                </c:pt>
                <c:pt idx="463">
                  <c:v>302.70409116383314</c:v>
                </c:pt>
                <c:pt idx="464">
                  <c:v>307.50467027834833</c:v>
                </c:pt>
                <c:pt idx="465">
                  <c:v>311.24416215206401</c:v>
                </c:pt>
                <c:pt idx="466">
                  <c:v>310.27928264524542</c:v>
                </c:pt>
                <c:pt idx="467">
                  <c:v>313.64608630674365</c:v>
                </c:pt>
                <c:pt idx="468">
                  <c:v>306.02045581916661</c:v>
                </c:pt>
                <c:pt idx="469">
                  <c:v>311.22781617784398</c:v>
                </c:pt>
                <c:pt idx="470">
                  <c:v>317.19082757332313</c:v>
                </c:pt>
                <c:pt idx="471">
                  <c:v>319.45637960022395</c:v>
                </c:pt>
                <c:pt idx="472">
                  <c:v>314.2536895198952</c:v>
                </c:pt>
                <c:pt idx="473">
                  <c:v>314.50168130020523</c:v>
                </c:pt>
                <c:pt idx="474">
                  <c:v>308.37801232953461</c:v>
                </c:pt>
                <c:pt idx="475">
                  <c:v>319.87156734541361</c:v>
                </c:pt>
                <c:pt idx="476">
                  <c:v>320.86680366149801</c:v>
                </c:pt>
                <c:pt idx="477">
                  <c:v>318.85905099943938</c:v>
                </c:pt>
                <c:pt idx="478">
                  <c:v>319.19017373435435</c:v>
                </c:pt>
                <c:pt idx="479">
                  <c:v>323.64748739024822</c:v>
                </c:pt>
                <c:pt idx="480">
                  <c:v>320.30963945451128</c:v>
                </c:pt>
                <c:pt idx="481">
                  <c:v>325.34466654212565</c:v>
                </c:pt>
                <c:pt idx="482">
                  <c:v>324.11778441995119</c:v>
                </c:pt>
                <c:pt idx="483">
                  <c:v>322.9782365028953</c:v>
                </c:pt>
                <c:pt idx="484">
                  <c:v>324.07201569213498</c:v>
                </c:pt>
                <c:pt idx="485">
                  <c:v>323.75770595927492</c:v>
                </c:pt>
                <c:pt idx="486">
                  <c:v>319.26816738277574</c:v>
                </c:pt>
                <c:pt idx="487">
                  <c:v>322.6933495236313</c:v>
                </c:pt>
                <c:pt idx="488">
                  <c:v>321.26284326545834</c:v>
                </c:pt>
                <c:pt idx="489">
                  <c:v>314.77769475060688</c:v>
                </c:pt>
                <c:pt idx="490">
                  <c:v>309.74173360732271</c:v>
                </c:pt>
                <c:pt idx="491">
                  <c:v>303.87072669531074</c:v>
                </c:pt>
                <c:pt idx="492">
                  <c:v>297.44302260414696</c:v>
                </c:pt>
                <c:pt idx="493">
                  <c:v>307.42994582477081</c:v>
                </c:pt>
                <c:pt idx="494">
                  <c:v>318.36773771716764</c:v>
                </c:pt>
                <c:pt idx="495">
                  <c:v>332.80683728750199</c:v>
                </c:pt>
                <c:pt idx="496">
                  <c:v>334.6291798991216</c:v>
                </c:pt>
                <c:pt idx="497">
                  <c:v>337.66672893704424</c:v>
                </c:pt>
                <c:pt idx="498">
                  <c:v>345.55062581729834</c:v>
                </c:pt>
                <c:pt idx="499">
                  <c:v>345.99757145525831</c:v>
                </c:pt>
                <c:pt idx="500">
                  <c:v>349.03185129833696</c:v>
                </c:pt>
                <c:pt idx="501">
                  <c:v>354.00990099009857</c:v>
                </c:pt>
                <c:pt idx="502">
                  <c:v>344.84121053614751</c:v>
                </c:pt>
                <c:pt idx="503">
                  <c:v>347.06986736409442</c:v>
                </c:pt>
                <c:pt idx="504">
                  <c:v>350.29796375863953</c:v>
                </c:pt>
                <c:pt idx="505">
                  <c:v>343.45320381094666</c:v>
                </c:pt>
                <c:pt idx="506">
                  <c:v>349.48813749299404</c:v>
                </c:pt>
                <c:pt idx="507">
                  <c:v>353.79179899121937</c:v>
                </c:pt>
                <c:pt idx="508">
                  <c:v>348.29488137492945</c:v>
                </c:pt>
                <c:pt idx="509">
                  <c:v>346.16009714178915</c:v>
                </c:pt>
                <c:pt idx="510">
                  <c:v>349.79077152998269</c:v>
                </c:pt>
                <c:pt idx="511">
                  <c:v>362.30338128152385</c:v>
                </c:pt>
                <c:pt idx="512">
                  <c:v>363.61666355314719</c:v>
                </c:pt>
                <c:pt idx="513">
                  <c:v>358.41444050065326</c:v>
                </c:pt>
                <c:pt idx="514">
                  <c:v>360.16065757519095</c:v>
                </c:pt>
                <c:pt idx="515">
                  <c:v>360.48010461423451</c:v>
                </c:pt>
                <c:pt idx="516">
                  <c:v>357.60227909583358</c:v>
                </c:pt>
                <c:pt idx="517">
                  <c:v>357.29964505884499</c:v>
                </c:pt>
                <c:pt idx="518">
                  <c:v>361.63880067251955</c:v>
                </c:pt>
                <c:pt idx="519">
                  <c:v>360.6725200821964</c:v>
                </c:pt>
                <c:pt idx="520">
                  <c:v>364.82066131141363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0-4F4F-B0C5-B4DA54111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"/>
        <c:axId val="100"/>
      </c:lineChart>
      <c:dateAx>
        <c:axId val="500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  <c:majorUnit val="1"/>
        <c:majorTimeUnit val="years"/>
      </c:dateAx>
      <c:valAx>
        <c:axId val="100"/>
        <c:scaling>
          <c:orientation val="minMax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crossAx val="50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3</xdr:row>
      <xdr:rowOff>0</xdr:rowOff>
    </xdr:from>
    <xdr:ext cx="468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32</xdr:row>
      <xdr:rowOff>0</xdr:rowOff>
    </xdr:from>
    <xdr:ext cx="468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8</xdr:col>
      <xdr:colOff>0</xdr:colOff>
      <xdr:row>19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4</xdr:col>
      <xdr:colOff>38100</xdr:colOff>
      <xdr:row>61</xdr:row>
      <xdr:rowOff>25400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 editAs="oneCell">
    <xdr:from>
      <xdr:col>0</xdr:col>
      <xdr:colOff>0</xdr:colOff>
      <xdr:row>65</xdr:row>
      <xdr:rowOff>30000</xdr:rowOff>
    </xdr:from>
    <xdr:to>
      <xdr:col>0</xdr:col>
      <xdr:colOff>2700000</xdr:colOff>
      <xdr:row>67</xdr:row>
      <xdr:rowOff>0</xdr:rowOff>
    </xdr:to>
    <xdr:sp macro="[0]!RunMonteCarlo" textlink="">
      <xdr:nvSpPr>
        <xdr:cNvPr id="100" name="btnRunMonteCarlo" descr="Runs the Monte Carlo simulation (macro RunMonteCarlo)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0" y="0"/>
          <a:ext cx="2700000" cy="380000"/>
        </a:xfrm>
        <a:prstGeom prst="roundRect">
          <a:avLst/>
        </a:prstGeom>
        <a:solidFill>
          <a:srgbClr val="1F3864"/>
        </a:solidFill>
        <a:ln w="12700">
          <a:solidFill>
            <a:srgbClr val="1F3864"/>
          </a:solidFill>
        </a:ln>
      </xdr:spPr>
      <xdr:txBody>
        <a:bodyPr vertOverflow="clip" horzOverflow="clip" wrap="square" lIns="91440" tIns="45720" rIns="91440" bIns="4572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  <a:cs typeface="Calibri"/>
            </a:rPr>
            <a:t>RUN MONTE CARLO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3</xdr:row>
      <xdr:rowOff>0</xdr:rowOff>
    </xdr:from>
    <xdr:ext cx="3024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13</xdr:col>
      <xdr:colOff>0</xdr:colOff>
      <xdr:row>3</xdr:row>
      <xdr:rowOff>0</xdr:rowOff>
    </xdr:from>
    <xdr:ext cx="414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19</xdr:row>
      <xdr:rowOff>0</xdr:rowOff>
    </xdr:from>
    <xdr:ext cx="7200000" cy="2951999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2"/>
  <sheetViews>
    <sheetView showGridLines="0" tabSelected="1" topLeftCell="A5" workbookViewId="0">
      <selection activeCell="C22" sqref="C22"/>
    </sheetView>
  </sheetViews>
  <sheetFormatPr baseColWidth="10" defaultColWidth="8.83203125" defaultRowHeight="15" x14ac:dyDescent="0.2"/>
  <cols>
    <col min="1" max="1" width="44" customWidth="1"/>
    <col min="2" max="2" width="14" customWidth="1"/>
    <col min="3" max="3" width="100" customWidth="1"/>
  </cols>
  <sheetData>
    <row r="1" spans="1:3" ht="19" x14ac:dyDescent="0.25">
      <c r="A1" s="1" t="s">
        <v>38</v>
      </c>
    </row>
    <row r="2" spans="1:3" x14ac:dyDescent="0.2">
      <c r="A2" s="2" t="s">
        <v>39</v>
      </c>
    </row>
    <row r="4" spans="1:3" ht="16" x14ac:dyDescent="0.2">
      <c r="A4" s="3" t="s">
        <v>40</v>
      </c>
    </row>
    <row r="5" spans="1:3" ht="16" x14ac:dyDescent="0.2">
      <c r="A5" s="4" t="s">
        <v>22</v>
      </c>
      <c r="B5" s="5" t="s">
        <v>23</v>
      </c>
      <c r="C5" s="6" t="s">
        <v>41</v>
      </c>
    </row>
    <row r="6" spans="1:3" x14ac:dyDescent="0.2">
      <c r="A6" s="7" t="s">
        <v>42</v>
      </c>
      <c r="B6" s="8">
        <v>0.13250000000000001</v>
      </c>
      <c r="C6" s="7" t="s">
        <v>43</v>
      </c>
    </row>
    <row r="7" spans="1:3" x14ac:dyDescent="0.2">
      <c r="A7" s="7" t="s">
        <v>44</v>
      </c>
      <c r="B7" s="8">
        <v>0.33</v>
      </c>
      <c r="C7" s="7" t="s">
        <v>45</v>
      </c>
    </row>
    <row r="8" spans="1:3" x14ac:dyDescent="0.2">
      <c r="A8" s="7" t="s">
        <v>46</v>
      </c>
      <c r="B8" s="8">
        <v>0.33750000000000002</v>
      </c>
      <c r="C8" s="7" t="s">
        <v>47</v>
      </c>
    </row>
    <row r="9" spans="1:3" x14ac:dyDescent="0.2">
      <c r="A9" s="7" t="s">
        <v>48</v>
      </c>
      <c r="B9" s="8">
        <v>0.2</v>
      </c>
      <c r="C9" s="7" t="s">
        <v>49</v>
      </c>
    </row>
    <row r="10" spans="1:3" x14ac:dyDescent="0.2">
      <c r="A10" s="7" t="s">
        <v>50</v>
      </c>
      <c r="C10" s="7" t="s">
        <v>51</v>
      </c>
    </row>
    <row r="11" spans="1:3" x14ac:dyDescent="0.2">
      <c r="A11" s="9" t="s">
        <v>52</v>
      </c>
      <c r="B11" s="10">
        <f>SUM(B6:B9)</f>
        <v>1</v>
      </c>
      <c r="C11" s="9" t="str">
        <f>IF(ABS(B11-1)&lt;0.0005,"OK – weights add up to 100%","Weights must add up to 100%")</f>
        <v>OK – weights add up to 100%</v>
      </c>
    </row>
    <row r="13" spans="1:3" ht="16" x14ac:dyDescent="0.2">
      <c r="A13" s="3" t="s">
        <v>53</v>
      </c>
    </row>
    <row r="14" spans="1:3" x14ac:dyDescent="0.2">
      <c r="A14" s="7" t="s">
        <v>54</v>
      </c>
      <c r="B14" s="8">
        <v>0.05</v>
      </c>
      <c r="C14" s="7" t="s">
        <v>55</v>
      </c>
    </row>
    <row r="15" spans="1:3" x14ac:dyDescent="0.2">
      <c r="A15" s="7" t="s">
        <v>56</v>
      </c>
      <c r="B15" s="8">
        <v>0.05</v>
      </c>
      <c r="C15" s="7" t="s">
        <v>57</v>
      </c>
    </row>
    <row r="16" spans="1:3" x14ac:dyDescent="0.2">
      <c r="A16" s="7" t="s">
        <v>58</v>
      </c>
      <c r="B16" s="11">
        <v>1000000</v>
      </c>
      <c r="C16" s="7" t="s">
        <v>59</v>
      </c>
    </row>
    <row r="17" spans="1:3" x14ac:dyDescent="0.2">
      <c r="A17" s="7" t="s">
        <v>60</v>
      </c>
      <c r="B17" s="12">
        <v>52</v>
      </c>
      <c r="C17" s="7" t="s">
        <v>61</v>
      </c>
    </row>
    <row r="19" spans="1:3" ht="16" x14ac:dyDescent="0.2">
      <c r="A19" s="3" t="s">
        <v>62</v>
      </c>
    </row>
    <row r="20" spans="1:3" x14ac:dyDescent="0.2">
      <c r="A20" s="7" t="s">
        <v>63</v>
      </c>
      <c r="B20" s="13">
        <v>0.08</v>
      </c>
      <c r="C20" s="7" t="s">
        <v>64</v>
      </c>
    </row>
    <row r="21" spans="1:3" x14ac:dyDescent="0.2">
      <c r="A21" s="7" t="s">
        <v>65</v>
      </c>
      <c r="B21" s="13">
        <v>0.15</v>
      </c>
      <c r="C21" s="7" t="s">
        <v>66</v>
      </c>
    </row>
    <row r="22" spans="1:3" x14ac:dyDescent="0.2">
      <c r="A22" s="7" t="s">
        <v>67</v>
      </c>
      <c r="B22" s="13">
        <v>0.26</v>
      </c>
      <c r="C22" s="7" t="s">
        <v>68</v>
      </c>
    </row>
    <row r="23" spans="1:3" x14ac:dyDescent="0.2">
      <c r="A23" s="7" t="s">
        <v>69</v>
      </c>
      <c r="B23" s="13">
        <v>0.2</v>
      </c>
      <c r="C23" s="7" t="s">
        <v>70</v>
      </c>
    </row>
    <row r="24" spans="1:3" x14ac:dyDescent="0.2">
      <c r="A24" s="7" t="s">
        <v>71</v>
      </c>
      <c r="B24" s="13">
        <v>0.4</v>
      </c>
      <c r="C24" s="7" t="s">
        <v>72</v>
      </c>
    </row>
    <row r="25" spans="1:3" x14ac:dyDescent="0.2">
      <c r="A25" s="7" t="s">
        <v>73</v>
      </c>
      <c r="B25" s="13">
        <v>0.1</v>
      </c>
      <c r="C25" s="7" t="s">
        <v>74</v>
      </c>
    </row>
    <row r="27" spans="1:3" ht="16" x14ac:dyDescent="0.2">
      <c r="A27" s="3" t="s">
        <v>75</v>
      </c>
    </row>
    <row r="28" spans="1:3" x14ac:dyDescent="0.2">
      <c r="A28" s="7" t="s">
        <v>76</v>
      </c>
      <c r="B28" s="14" t="s">
        <v>77</v>
      </c>
      <c r="C28" s="7" t="s">
        <v>78</v>
      </c>
    </row>
    <row r="29" spans="1:3" x14ac:dyDescent="0.2">
      <c r="A29" s="7" t="s">
        <v>79</v>
      </c>
      <c r="B29" s="15">
        <v>0.8</v>
      </c>
      <c r="C29" s="7" t="s">
        <v>80</v>
      </c>
    </row>
    <row r="30" spans="1:3" x14ac:dyDescent="0.2">
      <c r="A30" s="7" t="s">
        <v>81</v>
      </c>
      <c r="B30" s="15">
        <v>1</v>
      </c>
      <c r="C30" s="7" t="s">
        <v>82</v>
      </c>
    </row>
    <row r="32" spans="1:3" ht="16" x14ac:dyDescent="0.2">
      <c r="A32" s="3" t="s">
        <v>83</v>
      </c>
    </row>
    <row r="33" spans="1:1" x14ac:dyDescent="0.2">
      <c r="A33" s="7" t="s">
        <v>84</v>
      </c>
    </row>
    <row r="34" spans="1:1" x14ac:dyDescent="0.2">
      <c r="A34" s="7" t="s">
        <v>85</v>
      </c>
    </row>
    <row r="35" spans="1:1" x14ac:dyDescent="0.2">
      <c r="A35" s="7" t="s">
        <v>86</v>
      </c>
    </row>
    <row r="36" spans="1:1" x14ac:dyDescent="0.2">
      <c r="A36" s="7" t="s">
        <v>87</v>
      </c>
    </row>
    <row r="38" spans="1:1" ht="16" x14ac:dyDescent="0.2">
      <c r="A38" s="3" t="s">
        <v>88</v>
      </c>
    </row>
    <row r="39" spans="1:1" x14ac:dyDescent="0.2">
      <c r="A39" s="7" t="s">
        <v>89</v>
      </c>
    </row>
    <row r="40" spans="1:1" x14ac:dyDescent="0.2">
      <c r="A40" s="7" t="s">
        <v>90</v>
      </c>
    </row>
    <row r="41" spans="1:1" x14ac:dyDescent="0.2">
      <c r="A41" s="7" t="s">
        <v>91</v>
      </c>
    </row>
    <row r="42" spans="1:1" x14ac:dyDescent="0.2">
      <c r="A42" s="7" t="s">
        <v>92</v>
      </c>
    </row>
  </sheetData>
  <dataValidations count="1">
    <dataValidation type="list" sqref="B28" xr:uid="{00000000-0002-0000-0000-000000000000}">
      <formula1>"Yes,No"</formula1>
    </dataValidation>
  </dataValidation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T526"/>
  <sheetViews>
    <sheetView workbookViewId="0">
      <pane xSplit="1" ySplit="5" topLeftCell="B6" activePane="bottomRight" state="frozen"/>
      <selection pane="topRight"/>
      <selection pane="bottomLeft"/>
      <selection pane="bottomRight" activeCell="Q8" sqref="Q8"/>
    </sheetView>
  </sheetViews>
  <sheetFormatPr baseColWidth="10" defaultColWidth="8.83203125" defaultRowHeight="15" x14ac:dyDescent="0.2"/>
  <cols>
    <col min="1" max="1" width="13" customWidth="1"/>
    <col min="2" max="4" width="9" customWidth="1"/>
    <col min="5" max="5" width="13" customWidth="1"/>
    <col min="6" max="6" width="10" customWidth="1"/>
    <col min="7" max="11" width="9" customWidth="1"/>
    <col min="12" max="15" width="10" customWidth="1"/>
    <col min="16" max="16" width="3" customWidth="1"/>
    <col min="17" max="20" width="12" customWidth="1"/>
  </cols>
  <sheetData>
    <row r="1" spans="1:20" ht="19" x14ac:dyDescent="0.25">
      <c r="A1" s="1" t="s">
        <v>93</v>
      </c>
    </row>
    <row r="2" spans="1:20" x14ac:dyDescent="0.2">
      <c r="A2" s="2" t="s">
        <v>94</v>
      </c>
    </row>
    <row r="3" spans="1:20" x14ac:dyDescent="0.2">
      <c r="B3" s="9" t="s">
        <v>95</v>
      </c>
      <c r="H3" s="9" t="s">
        <v>96</v>
      </c>
      <c r="Q3" s="9" t="s">
        <v>97</v>
      </c>
    </row>
    <row r="4" spans="1:20" x14ac:dyDescent="0.2">
      <c r="G4" s="16" t="s">
        <v>98</v>
      </c>
      <c r="H4" s="17">
        <f>Inputs!B6</f>
        <v>0.13250000000000001</v>
      </c>
      <c r="I4" s="17">
        <f>Inputs!B7</f>
        <v>0.33</v>
      </c>
      <c r="J4" s="17">
        <f>Inputs!B8</f>
        <v>0.33750000000000002</v>
      </c>
      <c r="K4" s="17">
        <f>Inputs!B9</f>
        <v>0.2</v>
      </c>
    </row>
    <row r="5" spans="1:20" ht="32" customHeight="1" x14ac:dyDescent="0.2">
      <c r="A5" s="5" t="s">
        <v>99</v>
      </c>
      <c r="B5" s="5" t="s">
        <v>42</v>
      </c>
      <c r="C5" s="5" t="s">
        <v>44</v>
      </c>
      <c r="D5" s="5" t="s">
        <v>46</v>
      </c>
      <c r="E5" s="5" t="s">
        <v>100</v>
      </c>
      <c r="F5" s="5" t="s">
        <v>50</v>
      </c>
      <c r="H5" s="5" t="s">
        <v>42</v>
      </c>
      <c r="I5" s="5" t="s">
        <v>44</v>
      </c>
      <c r="J5" s="5" t="s">
        <v>46</v>
      </c>
      <c r="K5" s="5" t="s">
        <v>48</v>
      </c>
      <c r="L5" s="5" t="s">
        <v>50</v>
      </c>
      <c r="M5" s="5" t="s">
        <v>40</v>
      </c>
      <c r="N5" s="5" t="s">
        <v>101</v>
      </c>
      <c r="O5" s="5" t="s">
        <v>102</v>
      </c>
      <c r="Q5" s="5" t="s">
        <v>103</v>
      </c>
      <c r="R5" s="5" t="s">
        <v>104</v>
      </c>
      <c r="S5" s="5" t="s">
        <v>105</v>
      </c>
      <c r="T5" s="5" t="s">
        <v>106</v>
      </c>
    </row>
    <row r="6" spans="1:20" x14ac:dyDescent="0.2">
      <c r="A6" s="18">
        <v>42664</v>
      </c>
      <c r="B6" s="19">
        <v>230.52</v>
      </c>
      <c r="C6" s="19">
        <v>69.97</v>
      </c>
      <c r="D6" s="19">
        <v>42.13</v>
      </c>
      <c r="E6" s="19">
        <v>1.25</v>
      </c>
      <c r="F6" s="20">
        <v>2141.1999999999998</v>
      </c>
      <c r="Q6" s="21">
        <v>100</v>
      </c>
      <c r="R6" s="21">
        <v>100</v>
      </c>
      <c r="S6" s="22">
        <f>Q6/MAX(Q$6:Q6)-1</f>
        <v>0</v>
      </c>
      <c r="T6" s="22">
        <f>R6/MAX(R$6:R6)-1</f>
        <v>0</v>
      </c>
    </row>
    <row r="7" spans="1:20" x14ac:dyDescent="0.2">
      <c r="A7" s="18">
        <v>42671</v>
      </c>
      <c r="B7" s="19">
        <v>248</v>
      </c>
      <c r="C7" s="19">
        <v>70.8</v>
      </c>
      <c r="D7" s="19">
        <v>42.23</v>
      </c>
      <c r="E7" s="19">
        <v>1.3</v>
      </c>
      <c r="F7" s="20">
        <v>2126.4</v>
      </c>
      <c r="H7" s="23">
        <f t="shared" ref="H7:H70" si="0">B7/B6-1</f>
        <v>7.582856151310069E-2</v>
      </c>
      <c r="I7" s="23">
        <f t="shared" ref="I7:I70" si="1">C7/C6-1</f>
        <v>1.1862226668572173E-2</v>
      </c>
      <c r="J7" s="23">
        <f t="shared" ref="J7:J70" si="2">D7/D6-1</f>
        <v>2.3736055067646866E-3</v>
      </c>
      <c r="K7" s="23">
        <f>E6/100/Inputs!$B$17-'Valuation and Bond'!$B$44*(E7-E6)/100+0.5*'Valuation and Bond'!$B$45*((E7-E6)/100)^2</f>
        <v>-1.9448724167030228E-3</v>
      </c>
      <c r="L7" s="23">
        <f t="shared" ref="L7:L70" si="3">F7/F6-1</f>
        <v>-6.9120119559124005E-3</v>
      </c>
      <c r="M7" s="23">
        <f t="shared" ref="M7:M70" si="4">SUMPRODUCT(H7:K7,$H$4:$K$4)</f>
        <v>1.4373936576307138E-2</v>
      </c>
      <c r="N7" s="23">
        <f>SUMPRODUCT(H7:K7,Portfolio!$B$23:$E$23)</f>
        <v>2.2029880317933632E-2</v>
      </c>
      <c r="O7" s="23">
        <f>SUMPRODUCT(H7:K7,Portfolio!$B$24:$E$24)</f>
        <v>1.1370851608417621E-2</v>
      </c>
      <c r="Q7" s="21">
        <f>Q6*(1+M7)</f>
        <v>101.43739365763071</v>
      </c>
      <c r="R7" s="21">
        <f t="shared" ref="R7:R70" si="5">R6*(1+L7)</f>
        <v>99.308798804408767</v>
      </c>
      <c r="S7" s="22">
        <f>Q7/MAX(Q$6:Q7)-1</f>
        <v>0</v>
      </c>
      <c r="T7" s="22">
        <f>R7/MAX(R$6:R7)-1</f>
        <v>-6.9120119559122895E-3</v>
      </c>
    </row>
    <row r="8" spans="1:20" x14ac:dyDescent="0.2">
      <c r="A8" s="18">
        <v>42678</v>
      </c>
      <c r="B8" s="19">
        <v>236.28</v>
      </c>
      <c r="C8" s="19">
        <v>67.599999999999994</v>
      </c>
      <c r="D8" s="19">
        <v>41.69</v>
      </c>
      <c r="E8" s="19">
        <v>1.27</v>
      </c>
      <c r="F8" s="20">
        <v>2085.1999999999998</v>
      </c>
      <c r="H8" s="23">
        <f t="shared" si="0"/>
        <v>-4.7258064516129017E-2</v>
      </c>
      <c r="I8" s="23">
        <f t="shared" si="1"/>
        <v>-4.5197740112994378E-2</v>
      </c>
      <c r="J8" s="23">
        <f t="shared" si="2"/>
        <v>-1.2787118162443711E-2</v>
      </c>
      <c r="K8" s="23">
        <f>E7/100/Inputs!$B$17-'Valuation and Bond'!$B$44*(E8-E7)/100+0.5*'Valuation and Bond'!$B$45*((E8-E7)/100)^2</f>
        <v>1.5638677488041171E-3</v>
      </c>
      <c r="L8" s="23">
        <f t="shared" si="3"/>
        <v>-1.9375470278404916E-2</v>
      </c>
      <c r="M8" s="23">
        <f t="shared" si="4"/>
        <v>-2.517982661573917E-2</v>
      </c>
      <c r="N8" s="23">
        <f>SUMPRODUCT(H8:K8,Portfolio!$B$23:$E$23)</f>
        <v>-2.5919763760690748E-2</v>
      </c>
      <c r="O8" s="23">
        <f>SUMPRODUCT(H8:K8,Portfolio!$B$24:$E$24)</f>
        <v>-1.5781195129187523E-2</v>
      </c>
      <c r="Q8" s="21">
        <f t="shared" ref="Q7:Q70" si="6">Q7*(1+M8)</f>
        <v>98.883217672979086</v>
      </c>
      <c r="R8" s="21">
        <f t="shared" si="5"/>
        <v>97.384644124789844</v>
      </c>
      <c r="S8" s="22">
        <f>Q8/MAX(Q$6:Q8)-1</f>
        <v>-2.5179826615739143E-2</v>
      </c>
      <c r="T8" s="22">
        <f>R8/MAX(R$6:R8)-1</f>
        <v>-2.6153558752101569E-2</v>
      </c>
    </row>
    <row r="9" spans="1:20" x14ac:dyDescent="0.2">
      <c r="A9" s="18">
        <v>42685</v>
      </c>
      <c r="B9" s="19">
        <v>259.17</v>
      </c>
      <c r="C9" s="19">
        <v>69.849999999999994</v>
      </c>
      <c r="D9" s="19">
        <v>41.03</v>
      </c>
      <c r="E9" s="19">
        <v>1.42</v>
      </c>
      <c r="F9" s="20">
        <v>2164.4</v>
      </c>
      <c r="H9" s="23">
        <f t="shared" si="0"/>
        <v>9.6876587100050759E-2</v>
      </c>
      <c r="I9" s="23">
        <f t="shared" si="1"/>
        <v>3.328402366863914E-2</v>
      </c>
      <c r="J9" s="23">
        <f t="shared" si="2"/>
        <v>-1.583113456464369E-2</v>
      </c>
      <c r="K9" s="23">
        <f>E8/100/Inputs!$B$17-'Valuation and Bond'!$B$44*(E9-E8)/100+0.5*'Valuation and Bond'!$B$45*((E9-E8)/100)^2</f>
        <v>-6.2945807673350481E-3</v>
      </c>
      <c r="L9" s="23">
        <f t="shared" si="3"/>
        <v>3.7981968156531876E-2</v>
      </c>
      <c r="M9" s="23">
        <f t="shared" si="4"/>
        <v>1.7217951532373391E-2</v>
      </c>
      <c r="N9" s="23">
        <f>SUMPRODUCT(H9:K9,Portfolio!$B$23:$E$23)</f>
        <v>2.700872385917779E-2</v>
      </c>
      <c r="O9" s="23">
        <f>SUMPRODUCT(H9:K9,Portfolio!$B$24:$E$24)</f>
        <v>9.0143592269455262E-3</v>
      </c>
      <c r="Q9" s="21">
        <f t="shared" si="6"/>
        <v>100.58578412223757</v>
      </c>
      <c r="R9" s="21">
        <f t="shared" si="5"/>
        <v>101.0835045768728</v>
      </c>
      <c r="S9" s="22">
        <f>Q9/MAX(Q$6:Q9)-1</f>
        <v>-8.395420117629171E-3</v>
      </c>
      <c r="T9" s="22">
        <f>R9/MAX(R$6:R9)-1</f>
        <v>0</v>
      </c>
    </row>
    <row r="10" spans="1:20" x14ac:dyDescent="0.2">
      <c r="A10" s="18">
        <v>42692</v>
      </c>
      <c r="B10" s="19">
        <v>263.08999999999997</v>
      </c>
      <c r="C10" s="19">
        <v>72.599999999999994</v>
      </c>
      <c r="D10" s="19">
        <v>40.909999999999997</v>
      </c>
      <c r="E10" s="19">
        <v>1.71</v>
      </c>
      <c r="F10" s="20">
        <v>2181.9</v>
      </c>
      <c r="H10" s="23">
        <f t="shared" si="0"/>
        <v>1.5125207392830742E-2</v>
      </c>
      <c r="I10" s="23">
        <f t="shared" si="1"/>
        <v>3.937007874015741E-2</v>
      </c>
      <c r="J10" s="23">
        <f t="shared" si="2"/>
        <v>-2.924689251767143E-3</v>
      </c>
      <c r="K10" s="23">
        <f>E9/100/Inputs!$B$17-'Valuation and Bond'!$B$44*(E10-E9)/100+0.5*'Valuation and Bond'!$B$45*((E10-E9)/100)^2</f>
        <v>-1.2322721506036881E-2</v>
      </c>
      <c r="L10" s="23">
        <f t="shared" si="3"/>
        <v>8.0853816300130443E-3</v>
      </c>
      <c r="M10" s="23">
        <f t="shared" si="4"/>
        <v>1.1544589040123232E-2</v>
      </c>
      <c r="N10" s="23">
        <f>SUMPRODUCT(H10:K10,Portfolio!$B$23:$E$23)</f>
        <v>9.8119688437960321E-3</v>
      </c>
      <c r="O10" s="23">
        <f>SUMPRODUCT(H10:K10,Portfolio!$B$24:$E$24)</f>
        <v>1.24255680614444E-3</v>
      </c>
      <c r="Q10" s="21">
        <f t="shared" si="6"/>
        <v>101.74700566320735</v>
      </c>
      <c r="R10" s="21">
        <f t="shared" si="5"/>
        <v>101.90080328787599</v>
      </c>
      <c r="S10" s="22">
        <f>Q10/MAX(Q$6:Q10)-1</f>
        <v>0</v>
      </c>
      <c r="T10" s="22">
        <f>R10/MAX(R$6:R10)-1</f>
        <v>0</v>
      </c>
    </row>
    <row r="11" spans="1:20" x14ac:dyDescent="0.2">
      <c r="A11" s="18">
        <v>42699</v>
      </c>
      <c r="B11" s="19">
        <v>265.92</v>
      </c>
      <c r="C11" s="19">
        <v>74.430000000000007</v>
      </c>
      <c r="D11" s="19">
        <v>41.53</v>
      </c>
      <c r="E11" s="19">
        <v>1.81</v>
      </c>
      <c r="F11" s="20">
        <v>2213.3000000000002</v>
      </c>
      <c r="H11" s="23">
        <f t="shared" si="0"/>
        <v>1.0756775248014216E-2</v>
      </c>
      <c r="I11" s="23">
        <f t="shared" si="1"/>
        <v>2.5206611570248061E-2</v>
      </c>
      <c r="J11" s="23">
        <f t="shared" si="2"/>
        <v>1.5155218772916257E-2</v>
      </c>
      <c r="K11" s="23">
        <f>E10/100/Inputs!$B$17-'Valuation and Bond'!$B$44*(E11-E10)/100+0.5*'Valuation and Bond'!$B$45*((E11-E10)/100)^2</f>
        <v>-4.0360147237634269E-3</v>
      </c>
      <c r="L11" s="23">
        <f t="shared" si="3"/>
        <v>1.4391126999404147E-2</v>
      </c>
      <c r="M11" s="23">
        <f t="shared" si="4"/>
        <v>1.4051137929650294E-2</v>
      </c>
      <c r="N11" s="23">
        <f>SUMPRODUCT(H11:K11,Portfolio!$B$23:$E$23)</f>
        <v>1.1770647716853776E-2</v>
      </c>
      <c r="O11" s="23">
        <f>SUMPRODUCT(H11:K11,Portfolio!$B$24:$E$24)</f>
        <v>8.2425704102512404E-3</v>
      </c>
      <c r="Q11" s="21">
        <f t="shared" si="6"/>
        <v>103.17666687370999</v>
      </c>
      <c r="R11" s="21">
        <f t="shared" si="5"/>
        <v>103.36727068933311</v>
      </c>
      <c r="S11" s="22">
        <f>Q11/MAX(Q$6:Q11)-1</f>
        <v>0</v>
      </c>
      <c r="T11" s="22">
        <f>R11/MAX(R$6:R11)-1</f>
        <v>0</v>
      </c>
    </row>
    <row r="12" spans="1:20" x14ac:dyDescent="0.2">
      <c r="A12" s="18">
        <v>42706</v>
      </c>
      <c r="B12" s="19">
        <v>267.62</v>
      </c>
      <c r="C12" s="19">
        <v>70.72</v>
      </c>
      <c r="D12" s="19">
        <v>40.36</v>
      </c>
      <c r="E12" s="19">
        <v>1.83</v>
      </c>
      <c r="F12" s="20">
        <v>2191.9</v>
      </c>
      <c r="H12" s="23">
        <f t="shared" si="0"/>
        <v>6.3929001203368863E-3</v>
      </c>
      <c r="I12" s="23">
        <f t="shared" si="1"/>
        <v>-4.9845492408974956E-2</v>
      </c>
      <c r="J12" s="23">
        <f t="shared" si="2"/>
        <v>-2.8172405490007213E-2</v>
      </c>
      <c r="K12" s="23">
        <f>E11/100/Inputs!$B$17-'Valuation and Bond'!$B$44*(E12-E11)/100+0.5*'Valuation and Bond'!$B$45*((E12-E11)/100)^2</f>
        <v>-5.267042721460157E-4</v>
      </c>
      <c r="L12" s="23">
        <f t="shared" si="3"/>
        <v>-9.668820313558979E-3</v>
      </c>
      <c r="M12" s="23">
        <f t="shared" si="4"/>
        <v>-2.5215480936323739E-2</v>
      </c>
      <c r="N12" s="23">
        <f>SUMPRODUCT(H12:K12,Portfolio!$B$23:$E$23)</f>
        <v>-1.8037925512697825E-2</v>
      </c>
      <c r="O12" s="23">
        <f>SUMPRODUCT(H12:K12,Portfolio!$B$24:$E$24)</f>
        <v>-1.5528173817760709E-2</v>
      </c>
      <c r="Q12" s="21">
        <f t="shared" si="6"/>
        <v>100.57501759708254</v>
      </c>
      <c r="R12" s="21">
        <f t="shared" si="5"/>
        <v>102.36783112273494</v>
      </c>
      <c r="S12" s="22">
        <f>Q12/MAX(Q$6:Q12)-1</f>
        <v>-2.5215480936323753E-2</v>
      </c>
      <c r="T12" s="22">
        <f>R12/MAX(R$6:R12)-1</f>
        <v>-9.668820313558979E-3</v>
      </c>
    </row>
    <row r="13" spans="1:20" x14ac:dyDescent="0.2">
      <c r="A13" s="18">
        <v>42713</v>
      </c>
      <c r="B13" s="19">
        <v>259.52999999999997</v>
      </c>
      <c r="C13" s="19">
        <v>71.989999999999995</v>
      </c>
      <c r="D13" s="19">
        <v>42</v>
      </c>
      <c r="E13" s="19">
        <v>1.84</v>
      </c>
      <c r="F13" s="20">
        <v>2259.5</v>
      </c>
      <c r="H13" s="23">
        <f t="shared" si="0"/>
        <v>-3.0229429788506179E-2</v>
      </c>
      <c r="I13" s="23">
        <f t="shared" si="1"/>
        <v>1.7958144796380138E-2</v>
      </c>
      <c r="J13" s="23">
        <f t="shared" si="2"/>
        <v>4.0634291377601661E-2</v>
      </c>
      <c r="K13" s="23">
        <f>E12/100/Inputs!$B$17-'Valuation and Bond'!$B$44*(E13-E12)/100+0.5*'Valuation and Bond'!$B$45*((E13-E12)/100)^2</f>
        <v>-8.5580584419706426E-5</v>
      </c>
      <c r="L13" s="23">
        <f t="shared" si="3"/>
        <v>3.084082303024771E-2</v>
      </c>
      <c r="M13" s="23">
        <f t="shared" si="4"/>
        <v>1.5617745558885E-2</v>
      </c>
      <c r="N13" s="23">
        <f>SUMPRODUCT(H13:K13,Portfolio!$B$23:$E$23)</f>
        <v>7.0693564502639786E-3</v>
      </c>
      <c r="O13" s="23">
        <f>SUMPRODUCT(H13:K13,Portfolio!$B$24:$E$24)</f>
        <v>1.2209687127128086E-2</v>
      </c>
      <c r="Q13" s="21">
        <f t="shared" si="6"/>
        <v>102.14577263149415</v>
      </c>
      <c r="R13" s="21">
        <f t="shared" si="5"/>
        <v>105.5249392863815</v>
      </c>
      <c r="S13" s="22">
        <f>Q13/MAX(Q$6:Q13)-1</f>
        <v>-9.9915443428471029E-3</v>
      </c>
      <c r="T13" s="22">
        <f>R13/MAX(R$6:R13)-1</f>
        <v>0</v>
      </c>
    </row>
    <row r="14" spans="1:20" x14ac:dyDescent="0.2">
      <c r="A14" s="18">
        <v>42720</v>
      </c>
      <c r="B14" s="19">
        <v>250.08</v>
      </c>
      <c r="C14" s="19">
        <v>72.89</v>
      </c>
      <c r="D14" s="19">
        <v>41.74</v>
      </c>
      <c r="E14" s="19">
        <v>2</v>
      </c>
      <c r="F14" s="20">
        <v>2258.1</v>
      </c>
      <c r="H14" s="23">
        <f t="shared" si="0"/>
        <v>-3.6411975494162419E-2</v>
      </c>
      <c r="I14" s="23">
        <f t="shared" si="1"/>
        <v>1.2501736352271253E-2</v>
      </c>
      <c r="J14" s="23">
        <f t="shared" si="2"/>
        <v>-6.1904761904761907E-3</v>
      </c>
      <c r="K14" s="23">
        <f>E13/100/Inputs!$B$17-'Valuation and Bond'!$B$44*(E14-E13)/100+0.5*'Valuation and Bond'!$B$45*((E14-E13)/100)^2</f>
        <v>-6.6190771321230288E-3</v>
      </c>
      <c r="L14" s="23">
        <f t="shared" si="3"/>
        <v>-6.196061075459669E-4</v>
      </c>
      <c r="M14" s="23">
        <f t="shared" si="4"/>
        <v>-4.1121148974373276E-3</v>
      </c>
      <c r="N14" s="23">
        <f>SUMPRODUCT(H14:K14,Portfolio!$B$23:$E$23)</f>
        <v>-9.1799481161225962E-3</v>
      </c>
      <c r="O14" s="23">
        <f>SUMPRODUCT(H14:K14,Portfolio!$B$24:$E$24)</f>
        <v>-7.7826188867203185E-3</v>
      </c>
      <c r="Q14" s="21">
        <f t="shared" si="6"/>
        <v>101.72573747814594</v>
      </c>
      <c r="R14" s="21">
        <f t="shared" si="5"/>
        <v>105.45955538950123</v>
      </c>
      <c r="S14" s="22">
        <f>Q14/MAX(Q$6:Q14)-1</f>
        <v>-1.406257286194379E-2</v>
      </c>
      <c r="T14" s="22">
        <f>R14/MAX(R$6:R14)-1</f>
        <v>-6.196061075459669E-4</v>
      </c>
    </row>
    <row r="15" spans="1:20" x14ac:dyDescent="0.2">
      <c r="A15" s="18">
        <v>42727</v>
      </c>
      <c r="B15" s="19">
        <v>249.59</v>
      </c>
      <c r="C15" s="19">
        <v>74.38</v>
      </c>
      <c r="D15" s="19">
        <v>41.6</v>
      </c>
      <c r="E15" s="19">
        <v>2.04</v>
      </c>
      <c r="F15" s="20">
        <v>2263.8000000000002</v>
      </c>
      <c r="H15" s="23">
        <f t="shared" si="0"/>
        <v>-1.9593730006398635E-3</v>
      </c>
      <c r="I15" s="23">
        <f t="shared" si="1"/>
        <v>2.044176155851285E-2</v>
      </c>
      <c r="J15" s="23">
        <f t="shared" si="2"/>
        <v>-3.3540967896502627E-3</v>
      </c>
      <c r="K15" s="23">
        <f>E14/100/Inputs!$B$17-'Valuation and Bond'!$B$44*(E15-E14)/100+0.5*'Valuation and Bond'!$B$45*((E15-E14)/100)^2</f>
        <v>-1.3640424959799817E-3</v>
      </c>
      <c r="L15" s="23">
        <f t="shared" si="3"/>
        <v>2.5242460475622952E-3</v>
      </c>
      <c r="M15" s="23">
        <f t="shared" si="4"/>
        <v>5.0813482260214995E-3</v>
      </c>
      <c r="N15" s="23">
        <f>SUMPRODUCT(H15:K15,Portfolio!$B$23:$E$23)</f>
        <v>3.4410623180606854E-3</v>
      </c>
      <c r="O15" s="23">
        <f>SUMPRODUCT(H15:K15,Portfolio!$B$24:$E$24)</f>
        <v>7.722764695180861E-4</v>
      </c>
      <c r="Q15" s="21">
        <f t="shared" si="6"/>
        <v>102.24264137382124</v>
      </c>
      <c r="R15" s="21">
        <f t="shared" si="5"/>
        <v>105.72576125537086</v>
      </c>
      <c r="S15" s="22">
        <f>Q15/MAX(Q$6:Q15)-1</f>
        <v>-9.0526814655876864E-3</v>
      </c>
      <c r="T15" s="22">
        <f>R15/MAX(R$6:R15)-1</f>
        <v>0</v>
      </c>
    </row>
    <row r="16" spans="1:20" x14ac:dyDescent="0.2">
      <c r="A16" s="18">
        <v>42734</v>
      </c>
      <c r="B16" s="19">
        <v>249.94</v>
      </c>
      <c r="C16" s="19">
        <v>72.97</v>
      </c>
      <c r="D16" s="19">
        <v>41.46</v>
      </c>
      <c r="E16" s="19">
        <v>2</v>
      </c>
      <c r="F16" s="20">
        <v>2238.8000000000002</v>
      </c>
      <c r="H16" s="23">
        <f t="shared" si="0"/>
        <v>1.402299771625426E-3</v>
      </c>
      <c r="I16" s="23">
        <f t="shared" si="1"/>
        <v>-1.8956708792686183E-2</v>
      </c>
      <c r="J16" s="23">
        <f t="shared" si="2"/>
        <v>-3.3653846153846034E-3</v>
      </c>
      <c r="K16" s="23">
        <f>E15/100/Inputs!$B$17-'Valuation and Bond'!$B$44*(E16-E15)/100+0.5*'Valuation and Bond'!$B$45*((E16-E15)/100)^2</f>
        <v>2.144583612305104E-3</v>
      </c>
      <c r="L16" s="23">
        <f t="shared" si="3"/>
        <v>-1.1043378390317216E-2</v>
      </c>
      <c r="M16" s="23">
        <f t="shared" si="4"/>
        <v>-6.7768097670773547E-3</v>
      </c>
      <c r="N16" s="23">
        <f>SUMPRODUCT(H16:K16,Portfolio!$B$23:$E$23)</f>
        <v>-4.6938025060350641E-3</v>
      </c>
      <c r="O16" s="23">
        <f>SUMPRODUCT(H16:K16,Portfolio!$B$24:$E$24)</f>
        <v>-2.6111341278978566E-3</v>
      </c>
      <c r="Q16" s="21">
        <f t="shared" si="6"/>
        <v>101.54976244314734</v>
      </c>
      <c r="R16" s="21">
        <f t="shared" si="5"/>
        <v>104.55819166822346</v>
      </c>
      <c r="S16" s="22">
        <f>Q16/MAX(Q$6:Q16)-1</f>
        <v>-1.5768142932490736E-2</v>
      </c>
      <c r="T16" s="22">
        <f>R16/MAX(R$6:R16)-1</f>
        <v>-1.1043378390317216E-2</v>
      </c>
    </row>
    <row r="17" spans="1:20" x14ac:dyDescent="0.2">
      <c r="A17" s="18">
        <v>42741</v>
      </c>
      <c r="B17" s="19">
        <v>257.85000000000002</v>
      </c>
      <c r="C17" s="19">
        <v>74.150000000000006</v>
      </c>
      <c r="D17" s="19">
        <v>41.74</v>
      </c>
      <c r="E17" s="19">
        <v>1.92</v>
      </c>
      <c r="F17" s="20">
        <v>2277</v>
      </c>
      <c r="H17" s="23">
        <f t="shared" si="0"/>
        <v>3.1647595422901631E-2</v>
      </c>
      <c r="I17" s="23">
        <f t="shared" si="1"/>
        <v>1.617102919007829E-2</v>
      </c>
      <c r="J17" s="23">
        <f t="shared" si="2"/>
        <v>6.7534973468403869E-3</v>
      </c>
      <c r="K17" s="23">
        <f>E16/100/Inputs!$B$17-'Valuation and Bond'!$B$44*(E17-E16)/100+0.5*'Valuation and Bond'!$B$45*((E17-E16)/100)^2</f>
        <v>3.8927852640122541E-3</v>
      </c>
      <c r="L17" s="23">
        <f t="shared" si="3"/>
        <v>1.706271216723243E-2</v>
      </c>
      <c r="M17" s="23">
        <f t="shared" si="4"/>
        <v>1.2587608433621384E-2</v>
      </c>
      <c r="N17" s="23">
        <f>SUMPRODUCT(H17:K17,Portfolio!$B$23:$E$23)</f>
        <v>1.461622680595814E-2</v>
      </c>
      <c r="O17" s="23">
        <f>SUMPRODUCT(H17:K17,Portfolio!$B$24:$E$24)</f>
        <v>1.0064942971758126E-2</v>
      </c>
      <c r="Q17" s="21">
        <f t="shared" si="6"/>
        <v>102.82803108930895</v>
      </c>
      <c r="R17" s="21">
        <f t="shared" si="5"/>
        <v>106.34223799738467</v>
      </c>
      <c r="S17" s="22">
        <f>Q17/MAX(Q$6:Q17)-1</f>
        <v>-3.3790177078290018E-3</v>
      </c>
      <c r="T17" s="22">
        <f>R17/MAX(R$6:R17)-1</f>
        <v>0</v>
      </c>
    </row>
    <row r="18" spans="1:20" x14ac:dyDescent="0.2">
      <c r="A18" s="18">
        <v>42748</v>
      </c>
      <c r="B18" s="19">
        <v>254.53</v>
      </c>
      <c r="C18" s="19">
        <v>75</v>
      </c>
      <c r="D18" s="19">
        <v>40.880000000000003</v>
      </c>
      <c r="E18" s="19">
        <v>1.89</v>
      </c>
      <c r="F18" s="20">
        <v>2274.6</v>
      </c>
      <c r="H18" s="23">
        <f t="shared" si="0"/>
        <v>-1.2875702928059063E-2</v>
      </c>
      <c r="I18" s="23">
        <f t="shared" si="1"/>
        <v>1.1463250168577188E-2</v>
      </c>
      <c r="J18" s="23">
        <f t="shared" si="2"/>
        <v>-2.0603737422137058E-2</v>
      </c>
      <c r="K18" s="23">
        <f>E17/100/Inputs!$B$17-'Valuation and Bond'!$B$44*(E18-E17)/100+0.5*'Valuation and Bond'!$B$45*((E18-E17)/100)^2</f>
        <v>1.6830985180348863E-3</v>
      </c>
      <c r="L18" s="23">
        <f t="shared" si="3"/>
        <v>-1.0540184453228241E-3</v>
      </c>
      <c r="M18" s="23">
        <f t="shared" si="4"/>
        <v>-4.5402997587016347E-3</v>
      </c>
      <c r="N18" s="23">
        <f>SUMPRODUCT(H18:K18,Portfolio!$B$23:$E$23)</f>
        <v>-5.0832729158960116E-3</v>
      </c>
      <c r="O18" s="23">
        <f>SUMPRODUCT(H18:K18,Portfolio!$B$24:$E$24)</f>
        <v>-6.4471902427710604E-3</v>
      </c>
      <c r="Q18" s="21">
        <f t="shared" si="6"/>
        <v>102.3611610045664</v>
      </c>
      <c r="R18" s="21">
        <f t="shared" si="5"/>
        <v>106.23015131701852</v>
      </c>
      <c r="S18" s="22">
        <f>Q18/MAX(Q$6:Q18)-1</f>
        <v>-7.90397571324708E-3</v>
      </c>
      <c r="T18" s="22">
        <f>R18/MAX(R$6:R18)-1</f>
        <v>-1.054018445322713E-3</v>
      </c>
    </row>
    <row r="19" spans="1:20" x14ac:dyDescent="0.2">
      <c r="A19" s="18">
        <v>42755</v>
      </c>
      <c r="B19" s="19">
        <v>257.73</v>
      </c>
      <c r="C19" s="19">
        <v>74.75</v>
      </c>
      <c r="D19" s="19">
        <v>41.32</v>
      </c>
      <c r="E19" s="19">
        <v>1.92</v>
      </c>
      <c r="F19" s="20">
        <v>2271.3000000000002</v>
      </c>
      <c r="H19" s="23">
        <f t="shared" si="0"/>
        <v>1.2572191883078787E-2</v>
      </c>
      <c r="I19" s="23">
        <f t="shared" si="1"/>
        <v>-3.3333333333332993E-3</v>
      </c>
      <c r="J19" s="23">
        <f t="shared" si="2"/>
        <v>1.0763209393346296E-2</v>
      </c>
      <c r="K19" s="23">
        <f>E18/100/Inputs!$B$17-'Valuation and Bond'!$B$44*(E19-E18)/100+0.5*'Valuation and Bond'!$B$45*((E19-E18)/100)^2</f>
        <v>-9.4837106317892795E-4</v>
      </c>
      <c r="L19" s="23">
        <f t="shared" si="3"/>
        <v>-1.4508045370613676E-3</v>
      </c>
      <c r="M19" s="23">
        <f t="shared" si="4"/>
        <v>4.0087243821265404E-3</v>
      </c>
      <c r="N19" s="23">
        <f>SUMPRODUCT(H19:K19,Portfolio!$B$23:$E$23)</f>
        <v>4.7634242199782141E-3</v>
      </c>
      <c r="O19" s="23">
        <f>SUMPRODUCT(H19:K19,Portfolio!$B$24:$E$24)</f>
        <v>4.4453727966503459E-3</v>
      </c>
      <c r="Q19" s="21">
        <f t="shared" si="6"/>
        <v>102.77149868646818</v>
      </c>
      <c r="R19" s="21">
        <f t="shared" si="5"/>
        <v>106.07603213151508</v>
      </c>
      <c r="S19" s="22">
        <f>Q19/MAX(Q$6:Q19)-1</f>
        <v>-3.9269361912780409E-3</v>
      </c>
      <c r="T19" s="22">
        <f>R19/MAX(R$6:R19)-1</f>
        <v>-2.5032938076414712E-3</v>
      </c>
    </row>
    <row r="20" spans="1:20" x14ac:dyDescent="0.2">
      <c r="A20" s="18">
        <v>42762</v>
      </c>
      <c r="B20" s="19">
        <v>253.5</v>
      </c>
      <c r="C20" s="19">
        <v>78.03</v>
      </c>
      <c r="D20" s="19">
        <v>41.45</v>
      </c>
      <c r="E20" s="19">
        <v>1.94</v>
      </c>
      <c r="F20" s="20">
        <v>2294.6999999999998</v>
      </c>
      <c r="H20" s="23">
        <f t="shared" si="0"/>
        <v>-1.6412524735188061E-2</v>
      </c>
      <c r="I20" s="23">
        <f t="shared" si="1"/>
        <v>4.3879598662207364E-2</v>
      </c>
      <c r="J20" s="23">
        <f t="shared" si="2"/>
        <v>3.1461761858664339E-3</v>
      </c>
      <c r="K20" s="23">
        <f>E19/100/Inputs!$B$17-'Valuation and Bond'!$B$44*(E20-E19)/100+0.5*'Valuation and Bond'!$B$45*((E20-E19)/100)^2</f>
        <v>-5.0555042599216961E-4</v>
      </c>
      <c r="L20" s="23">
        <f t="shared" si="3"/>
        <v>1.0302469951129156E-2</v>
      </c>
      <c r="M20" s="23">
        <f t="shared" si="4"/>
        <v>1.3266332408647502E-2</v>
      </c>
      <c r="N20" s="23">
        <f>SUMPRODUCT(H20:K20,Portfolio!$B$23:$E$23)</f>
        <v>7.526924921723392E-3</v>
      </c>
      <c r="O20" s="23">
        <f>SUMPRODUCT(H20:K20,Portfolio!$B$24:$E$24)</f>
        <v>4.5574741282666071E-3</v>
      </c>
      <c r="Q20" s="21">
        <f t="shared" si="6"/>
        <v>104.13489955017775</v>
      </c>
      <c r="R20" s="21">
        <f t="shared" si="5"/>
        <v>107.16887726508502</v>
      </c>
      <c r="S20" s="22">
        <f>Q20/MAX(Q$6:Q20)-1</f>
        <v>0</v>
      </c>
      <c r="T20" s="22">
        <f>R20/MAX(R$6:R20)-1</f>
        <v>0</v>
      </c>
    </row>
    <row r="21" spans="1:20" x14ac:dyDescent="0.2">
      <c r="A21" s="18">
        <v>42769</v>
      </c>
      <c r="B21" s="19">
        <v>254.46</v>
      </c>
      <c r="C21" s="19">
        <v>76.5</v>
      </c>
      <c r="D21" s="19">
        <v>41.54</v>
      </c>
      <c r="E21" s="19">
        <v>1.92</v>
      </c>
      <c r="F21" s="20">
        <v>2297.4</v>
      </c>
      <c r="H21" s="23">
        <f t="shared" si="0"/>
        <v>3.7869822485208093E-3</v>
      </c>
      <c r="I21" s="23">
        <f t="shared" si="1"/>
        <v>-1.9607843137254943E-2</v>
      </c>
      <c r="J21" s="23">
        <f t="shared" si="2"/>
        <v>2.1712907117008573E-3</v>
      </c>
      <c r="K21" s="23">
        <f>E20/100/Inputs!$B$17-'Valuation and Bond'!$B$44*(E21-E20)/100+0.5*'Valuation and Bond'!$B$45*((E21-E20)/100)^2</f>
        <v>1.2487626281503733E-3</v>
      </c>
      <c r="L21" s="23">
        <f t="shared" si="3"/>
        <v>1.1766243953459377E-3</v>
      </c>
      <c r="M21" s="23">
        <f t="shared" si="4"/>
        <v>-4.9862499465360101E-3</v>
      </c>
      <c r="N21" s="23">
        <f>SUMPRODUCT(H21:K21,Portfolio!$B$23:$E$23)</f>
        <v>-3.1002018872207261E-3</v>
      </c>
      <c r="O21" s="23">
        <f>SUMPRODUCT(H21:K21,Portfolio!$B$24:$E$24)</f>
        <v>-8.7301520422499248E-4</v>
      </c>
      <c r="Q21" s="21">
        <f t="shared" si="6"/>
        <v>103.61565691286314</v>
      </c>
      <c r="R21" s="21">
        <f t="shared" si="5"/>
        <v>107.29497478049694</v>
      </c>
      <c r="S21" s="22">
        <f>Q21/MAX(Q$6:Q21)-1</f>
        <v>-4.9862499465359589E-3</v>
      </c>
      <c r="T21" s="22">
        <f>R21/MAX(R$6:R21)-1</f>
        <v>0</v>
      </c>
    </row>
    <row r="22" spans="1:20" x14ac:dyDescent="0.2">
      <c r="A22" s="18">
        <v>42776</v>
      </c>
      <c r="B22" s="19">
        <v>260.55</v>
      </c>
      <c r="C22" s="19">
        <v>75.16</v>
      </c>
      <c r="D22" s="19">
        <v>40.58</v>
      </c>
      <c r="E22" s="19">
        <v>1.86</v>
      </c>
      <c r="F22" s="20">
        <v>2316.1</v>
      </c>
      <c r="H22" s="23">
        <f t="shared" si="0"/>
        <v>2.3933034661636432E-2</v>
      </c>
      <c r="I22" s="23">
        <f t="shared" si="1"/>
        <v>-1.7516339869281139E-2</v>
      </c>
      <c r="J22" s="23">
        <f t="shared" si="2"/>
        <v>-2.3110255175734284E-2</v>
      </c>
      <c r="K22" s="23">
        <f>E21/100/Inputs!$B$17-'Valuation and Bond'!$B$44*(E22-E21)/100+0.5*'Valuation and Bond'!$B$45*((E22-E21)/100)^2</f>
        <v>2.9990014140026449E-3</v>
      </c>
      <c r="L22" s="23">
        <f t="shared" si="3"/>
        <v>8.1396361103855952E-3</v>
      </c>
      <c r="M22" s="23">
        <f t="shared" si="4"/>
        <v>-9.8091759032057409E-3</v>
      </c>
      <c r="N22" s="23">
        <f>SUMPRODUCT(H22:K22,Portfolio!$B$23:$E$23)</f>
        <v>-3.4236397423440864E-3</v>
      </c>
      <c r="O22" s="23">
        <f>SUMPRODUCT(H22:K22,Portfolio!$B$24:$E$24)</f>
        <v>-5.8620380932280312E-3</v>
      </c>
      <c r="Q22" s="21">
        <f t="shared" si="6"/>
        <v>102.59927270787865</v>
      </c>
      <c r="R22" s="21">
        <f t="shared" si="5"/>
        <v>108.16831683168319</v>
      </c>
      <c r="S22" s="22">
        <f>Q22/MAX(Q$6:Q22)-1</f>
        <v>-1.4746514846918801E-2</v>
      </c>
      <c r="T22" s="22">
        <f>R22/MAX(R$6:R22)-1</f>
        <v>0</v>
      </c>
    </row>
    <row r="23" spans="1:20" x14ac:dyDescent="0.2">
      <c r="A23" s="18">
        <v>42783</v>
      </c>
      <c r="B23" s="19">
        <v>265.35000000000002</v>
      </c>
      <c r="C23" s="19">
        <v>76.44</v>
      </c>
      <c r="D23" s="19">
        <v>41.23</v>
      </c>
      <c r="E23" s="19">
        <v>1.96</v>
      </c>
      <c r="F23" s="20">
        <v>2351.1999999999998</v>
      </c>
      <c r="H23" s="23">
        <f t="shared" si="0"/>
        <v>1.842256764536554E-2</v>
      </c>
      <c r="I23" s="23">
        <f t="shared" si="1"/>
        <v>1.7030335284725862E-2</v>
      </c>
      <c r="J23" s="23">
        <f t="shared" si="2"/>
        <v>1.6017742730409124E-2</v>
      </c>
      <c r="K23" s="23">
        <f>E22/100/Inputs!$B$17-'Valuation and Bond'!$B$44*(E23-E22)/100+0.5*'Valuation and Bond'!$B$45*((E23-E22)/100)^2</f>
        <v>-4.0071685699172629E-3</v>
      </c>
      <c r="L23" s="23">
        <f t="shared" si="3"/>
        <v>1.515478606277787E-2</v>
      </c>
      <c r="M23" s="23">
        <f t="shared" si="4"/>
        <v>1.2665555314500095E-2</v>
      </c>
      <c r="N23" s="23">
        <f>SUMPRODUCT(H23:K23,Portfolio!$B$23:$E$23)</f>
        <v>1.1865869272645815E-2</v>
      </c>
      <c r="O23" s="23">
        <f>SUMPRODUCT(H23:K23,Portfolio!$B$24:$E$24)</f>
        <v>8.4518273960079854E-3</v>
      </c>
      <c r="Q23" s="21">
        <f t="shared" si="6"/>
        <v>103.89874947158778</v>
      </c>
      <c r="R23" s="21">
        <f t="shared" si="5"/>
        <v>109.80758453203812</v>
      </c>
      <c r="S23" s="22">
        <f>Q23/MAX(Q$6:Q23)-1</f>
        <v>-2.2677323319083564E-3</v>
      </c>
      <c r="T23" s="22">
        <f>R23/MAX(R$6:R23)-1</f>
        <v>0</v>
      </c>
    </row>
    <row r="24" spans="1:20" x14ac:dyDescent="0.2">
      <c r="A24" s="18">
        <v>42790</v>
      </c>
      <c r="B24" s="19">
        <v>266</v>
      </c>
      <c r="C24" s="19">
        <v>77.239999999999995</v>
      </c>
      <c r="D24" s="19">
        <v>41.78</v>
      </c>
      <c r="E24" s="19">
        <v>1.88</v>
      </c>
      <c r="F24" s="20">
        <v>2367.3000000000002</v>
      </c>
      <c r="H24" s="23">
        <f t="shared" si="0"/>
        <v>2.4495948746936502E-3</v>
      </c>
      <c r="I24" s="23">
        <f t="shared" si="1"/>
        <v>1.0465724751439032E-2</v>
      </c>
      <c r="J24" s="23">
        <f t="shared" si="2"/>
        <v>1.3339801115692662E-2</v>
      </c>
      <c r="K24" s="23">
        <f>E23/100/Inputs!$B$17-'Valuation and Bond'!$B$44*(E24-E23)/100+0.5*'Valuation and Bond'!$B$45*((E24-E23)/100)^2</f>
        <v>3.8850929563199461E-3</v>
      </c>
      <c r="L24" s="23">
        <f t="shared" si="3"/>
        <v>6.8475671997278997E-3</v>
      </c>
      <c r="M24" s="23">
        <f t="shared" si="4"/>
        <v>9.0574619566820523E-3</v>
      </c>
      <c r="N24" s="23">
        <f>SUMPRODUCT(H24:K24,Portfolio!$B$23:$E$23)</f>
        <v>7.5350534245363227E-3</v>
      </c>
      <c r="O24" s="23">
        <f>SUMPRODUCT(H24:K24,Portfolio!$B$24:$E$24)</f>
        <v>7.7736425568516229E-3</v>
      </c>
      <c r="Q24" s="21">
        <f t="shared" si="6"/>
        <v>104.83980844227352</v>
      </c>
      <c r="R24" s="21">
        <f t="shared" si="5"/>
        <v>110.55949934616105</v>
      </c>
      <c r="S24" s="22">
        <f>Q24/MAX(Q$6:Q24)-1</f>
        <v>0</v>
      </c>
      <c r="T24" s="22">
        <f>R24/MAX(R$6:R24)-1</f>
        <v>0</v>
      </c>
    </row>
    <row r="25" spans="1:20" x14ac:dyDescent="0.2">
      <c r="A25" s="18">
        <v>42797</v>
      </c>
      <c r="B25" s="19">
        <v>267.76</v>
      </c>
      <c r="C25" s="19">
        <v>77.86</v>
      </c>
      <c r="D25" s="19">
        <v>42.48</v>
      </c>
      <c r="E25" s="19">
        <v>1.96</v>
      </c>
      <c r="F25" s="20">
        <v>2383.1</v>
      </c>
      <c r="H25" s="23">
        <f t="shared" si="0"/>
        <v>6.6165413533834094E-3</v>
      </c>
      <c r="I25" s="23">
        <f t="shared" si="1"/>
        <v>8.02692905230451E-3</v>
      </c>
      <c r="J25" s="23">
        <f t="shared" si="2"/>
        <v>1.6754427955959716E-2</v>
      </c>
      <c r="K25" s="23">
        <f>E24/100/Inputs!$B$17-'Valuation and Bond'!$B$44*(E25-E24)/100+0.5*'Valuation and Bond'!$B$45*((E25-E24)/100)^2</f>
        <v>-3.1321592602502257E-3</v>
      </c>
      <c r="L25" s="23">
        <f t="shared" si="3"/>
        <v>6.6742702657034414E-3</v>
      </c>
      <c r="M25" s="23">
        <f t="shared" si="4"/>
        <v>8.5537658996701488E-3</v>
      </c>
      <c r="N25" s="23">
        <f>SUMPRODUCT(H25:K25,Portfolio!$B$23:$E$23)</f>
        <v>7.0664347753493523E-3</v>
      </c>
      <c r="O25" s="23">
        <f>SUMPRODUCT(H25:K25,Portfolio!$B$24:$E$24)</f>
        <v>6.3374986315597043E-3</v>
      </c>
      <c r="Q25" s="21">
        <f t="shared" si="6"/>
        <v>105.736583620655</v>
      </c>
      <c r="R25" s="21">
        <f t="shared" si="5"/>
        <v>111.29740332523819</v>
      </c>
      <c r="S25" s="22">
        <f>Q25/MAX(Q$6:Q25)-1</f>
        <v>0</v>
      </c>
      <c r="T25" s="22">
        <f>R25/MAX(R$6:R25)-1</f>
        <v>0</v>
      </c>
    </row>
    <row r="26" spans="1:20" x14ac:dyDescent="0.2">
      <c r="A26" s="18">
        <v>42804</v>
      </c>
      <c r="B26" s="19">
        <v>268.66000000000003</v>
      </c>
      <c r="C26" s="19">
        <v>80.33</v>
      </c>
      <c r="D26" s="19">
        <v>42.29</v>
      </c>
      <c r="E26" s="19">
        <v>2.08</v>
      </c>
      <c r="F26" s="20">
        <v>2372.6</v>
      </c>
      <c r="H26" s="23">
        <f t="shared" si="0"/>
        <v>3.36121900209152E-3</v>
      </c>
      <c r="I26" s="23">
        <f t="shared" si="1"/>
        <v>3.1723606473156973E-2</v>
      </c>
      <c r="J26" s="23">
        <f t="shared" si="2"/>
        <v>-4.4726930320150293E-3</v>
      </c>
      <c r="K26" s="23">
        <f>E25/100/Inputs!$B$17-'Valuation and Bond'!$B$44*(E26-E25)/100+0.5*'Valuation and Bond'!$B$45*((E26-E25)/100)^2</f>
        <v>-4.8581964466568855E-3</v>
      </c>
      <c r="L26" s="23">
        <f t="shared" si="3"/>
        <v>-4.4060257647602352E-3</v>
      </c>
      <c r="M26" s="23">
        <f t="shared" si="4"/>
        <v>8.4329784662824786E-3</v>
      </c>
      <c r="N26" s="23">
        <f>SUMPRODUCT(H26:K26,Portfolio!$B$23:$E$23)</f>
        <v>6.4384839991441442E-3</v>
      </c>
      <c r="O26" s="23">
        <f>SUMPRODUCT(H26:K26,Portfolio!$B$24:$E$24)</f>
        <v>1.1752869178093346E-3</v>
      </c>
      <c r="Q26" s="21">
        <f t="shared" si="6"/>
        <v>106.62825795342626</v>
      </c>
      <c r="R26" s="21">
        <f t="shared" si="5"/>
        <v>110.80702409863628</v>
      </c>
      <c r="S26" s="22">
        <f>Q26/MAX(Q$6:Q26)-1</f>
        <v>0</v>
      </c>
      <c r="T26" s="22">
        <f>R26/MAX(R$6:R26)-1</f>
        <v>-4.4060257647602352E-3</v>
      </c>
    </row>
    <row r="27" spans="1:20" x14ac:dyDescent="0.2">
      <c r="A27" s="18">
        <v>42811</v>
      </c>
      <c r="B27" s="19">
        <v>271.98</v>
      </c>
      <c r="C27" s="19">
        <v>82.2</v>
      </c>
      <c r="D27" s="19">
        <v>42.03</v>
      </c>
      <c r="E27" s="19">
        <v>2.0699999999999998</v>
      </c>
      <c r="F27" s="20">
        <v>2378.1999999999998</v>
      </c>
      <c r="H27" s="23">
        <f t="shared" si="0"/>
        <v>1.2357626740117533E-2</v>
      </c>
      <c r="I27" s="23">
        <f t="shared" si="1"/>
        <v>2.327897423129599E-2</v>
      </c>
      <c r="J27" s="23">
        <f t="shared" si="2"/>
        <v>-6.1480255379522397E-3</v>
      </c>
      <c r="K27" s="23">
        <f>E26/100/Inputs!$B$17-'Valuation and Bond'!$B$44*(E27-E26)/100+0.5*'Valuation and Bond'!$B$45*((E27-E26)/100)^2</f>
        <v>8.3772978880542078E-4</v>
      </c>
      <c r="L27" s="23">
        <f t="shared" si="3"/>
        <v>2.3602798617550214E-3</v>
      </c>
      <c r="M27" s="23">
        <f t="shared" si="4"/>
        <v>7.4120343780954539E-3</v>
      </c>
      <c r="N27" s="23">
        <f>SUMPRODUCT(H27:K27,Portfolio!$B$23:$E$23)</f>
        <v>7.5815763055666757E-3</v>
      </c>
      <c r="O27" s="23">
        <f>SUMPRODUCT(H27:K27,Portfolio!$B$24:$E$24)</f>
        <v>2.9277899408424839E-3</v>
      </c>
      <c r="Q27" s="21">
        <f t="shared" si="6"/>
        <v>107.41859026705349</v>
      </c>
      <c r="R27" s="21">
        <f t="shared" si="5"/>
        <v>111.06855968615729</v>
      </c>
      <c r="S27" s="22">
        <f>Q27/MAX(Q$6:Q27)-1</f>
        <v>0</v>
      </c>
      <c r="T27" s="22">
        <f>R27/MAX(R$6:R27)-1</f>
        <v>-2.0561453568882504E-3</v>
      </c>
    </row>
    <row r="28" spans="1:20" x14ac:dyDescent="0.2">
      <c r="A28" s="18">
        <v>42818</v>
      </c>
      <c r="B28" s="19">
        <v>267.42</v>
      </c>
      <c r="C28" s="19">
        <v>80.59</v>
      </c>
      <c r="D28" s="19">
        <v>42.12</v>
      </c>
      <c r="E28" s="19">
        <v>1.96</v>
      </c>
      <c r="F28" s="20">
        <v>2344</v>
      </c>
      <c r="H28" s="23">
        <f t="shared" si="0"/>
        <v>-1.6765938671961189E-2</v>
      </c>
      <c r="I28" s="23">
        <f t="shared" si="1"/>
        <v>-1.9586374695863773E-2</v>
      </c>
      <c r="J28" s="23">
        <f t="shared" si="2"/>
        <v>2.1413276231263545E-3</v>
      </c>
      <c r="K28" s="23">
        <f>E27/100/Inputs!$B$17-'Valuation and Bond'!$B$44*(E28-E27)/100+0.5*'Valuation and Bond'!$B$45*((E28-E27)/100)^2</f>
        <v>5.2255416103809673E-3</v>
      </c>
      <c r="L28" s="23">
        <f t="shared" si="3"/>
        <v>-1.4380624001345432E-2</v>
      </c>
      <c r="M28" s="23">
        <f t="shared" si="4"/>
        <v>-6.9171841287885647E-3</v>
      </c>
      <c r="N28" s="23">
        <f>SUMPRODUCT(H28:K28,Portfolio!$B$23:$E$23)</f>
        <v>-7.2463610335794099E-3</v>
      </c>
      <c r="O28" s="23">
        <f>SUMPRODUCT(H28:K28,Portfolio!$B$24:$E$24)</f>
        <v>-1.9388811944428771E-3</v>
      </c>
      <c r="Q28" s="21">
        <f t="shared" si="6"/>
        <v>106.67555609932138</v>
      </c>
      <c r="R28" s="21">
        <f t="shared" si="5"/>
        <v>109.47132449093966</v>
      </c>
      <c r="S28" s="22">
        <f>Q28/MAX(Q$6:Q28)-1</f>
        <v>-6.9171841287886116E-3</v>
      </c>
      <c r="T28" s="22">
        <f>R28/MAX(R$6:R28)-1</f>
        <v>-1.6407200704964153E-2</v>
      </c>
    </row>
    <row r="29" spans="1:20" x14ac:dyDescent="0.2">
      <c r="A29" s="18">
        <v>42825</v>
      </c>
      <c r="B29" s="19">
        <v>267.60000000000002</v>
      </c>
      <c r="C29" s="19">
        <v>80.56</v>
      </c>
      <c r="D29" s="19">
        <v>42.44</v>
      </c>
      <c r="E29" s="19">
        <v>1.94</v>
      </c>
      <c r="F29" s="20">
        <v>2362.6999999999998</v>
      </c>
      <c r="H29" s="23">
        <f t="shared" si="0"/>
        <v>6.7309849674668243E-4</v>
      </c>
      <c r="I29" s="23">
        <f t="shared" si="1"/>
        <v>-3.7225462216161631E-4</v>
      </c>
      <c r="J29" s="23">
        <f t="shared" si="2"/>
        <v>7.5973409306742123E-3</v>
      </c>
      <c r="K29" s="23">
        <f>E28/100/Inputs!$B$17-'Valuation and Bond'!$B$44*(E29-E28)/100+0.5*'Valuation and Bond'!$B$45*((E29-E28)/100)^2</f>
        <v>1.2526087819965273E-3</v>
      </c>
      <c r="L29" s="23">
        <f t="shared" si="3"/>
        <v>7.977815699658608E-3</v>
      </c>
      <c r="M29" s="23">
        <f t="shared" si="4"/>
        <v>2.780965846007454E-3</v>
      </c>
      <c r="N29" s="23">
        <f>SUMPRODUCT(H29:K29,Portfolio!$B$23:$E$23)</f>
        <v>2.2876983968139514E-3</v>
      </c>
      <c r="O29" s="23">
        <f>SUMPRODUCT(H29:K29,Portfolio!$B$24:$E$24)</f>
        <v>3.111738770274416E-3</v>
      </c>
      <c r="Q29" s="21">
        <f t="shared" si="6"/>
        <v>106.97221717743744</v>
      </c>
      <c r="R29" s="21">
        <f t="shared" si="5"/>
        <v>110.34466654212591</v>
      </c>
      <c r="S29" s="22">
        <f>Q29/MAX(Q$6:Q29)-1</f>
        <v>-4.1554547355938665E-3</v>
      </c>
      <c r="T29" s="22">
        <f>R29/MAX(R$6:R29)-1</f>
        <v>-8.5602786286770316E-3</v>
      </c>
    </row>
    <row r="30" spans="1:20" x14ac:dyDescent="0.2">
      <c r="A30" s="18">
        <v>42832</v>
      </c>
      <c r="B30" s="19">
        <v>270.23</v>
      </c>
      <c r="C30" s="19">
        <v>80.53</v>
      </c>
      <c r="D30" s="19">
        <v>42.61</v>
      </c>
      <c r="E30" s="19">
        <v>1.88</v>
      </c>
      <c r="F30" s="20">
        <v>2355.5</v>
      </c>
      <c r="H30" s="23">
        <f t="shared" si="0"/>
        <v>9.8281016442451907E-3</v>
      </c>
      <c r="I30" s="23">
        <f t="shared" si="1"/>
        <v>-3.7239324726912049E-4</v>
      </c>
      <c r="J30" s="23">
        <f t="shared" si="2"/>
        <v>4.0056550424127924E-3</v>
      </c>
      <c r="K30" s="23">
        <f>E29/100/Inputs!$B$17-'Valuation and Bond'!$B$44*(E30-E29)/100+0.5*'Valuation and Bond'!$B$45*((E30-E29)/100)^2</f>
        <v>3.0028475678488078E-3</v>
      </c>
      <c r="L30" s="23">
        <f t="shared" si="3"/>
        <v>-3.0473610699622844E-3</v>
      </c>
      <c r="M30" s="23">
        <f t="shared" si="4"/>
        <v>3.1318117866477573E-3</v>
      </c>
      <c r="N30" s="23">
        <f>SUMPRODUCT(H30:K30,Portfolio!$B$23:$E$23)</f>
        <v>4.1160527518094179E-3</v>
      </c>
      <c r="O30" s="23">
        <f>SUMPRODUCT(H30:K30,Portfolio!$B$24:$E$24)</f>
        <v>3.7753918260095094E-3</v>
      </c>
      <c r="Q30" s="21">
        <f t="shared" si="6"/>
        <v>107.30723402803757</v>
      </c>
      <c r="R30" s="21">
        <f t="shared" si="5"/>
        <v>110.00840650102747</v>
      </c>
      <c r="S30" s="22">
        <f>Q30/MAX(Q$6:Q30)-1</f>
        <v>-1.0366570510660367E-3</v>
      </c>
      <c r="T30" s="22">
        <f>R30/MAX(R$6:R30)-1</f>
        <v>-1.1581553438798187E-2</v>
      </c>
    </row>
    <row r="31" spans="1:20" x14ac:dyDescent="0.2">
      <c r="A31" s="18">
        <v>42839</v>
      </c>
      <c r="B31" s="19">
        <v>268</v>
      </c>
      <c r="C31" s="19">
        <v>77.84</v>
      </c>
      <c r="D31" s="19">
        <v>42.79</v>
      </c>
      <c r="E31" s="19">
        <v>1.83</v>
      </c>
      <c r="F31" s="20">
        <v>2328.9</v>
      </c>
      <c r="H31" s="23">
        <f t="shared" si="0"/>
        <v>-8.2522295822078373E-3</v>
      </c>
      <c r="I31" s="23">
        <f t="shared" si="1"/>
        <v>-3.3403700484291532E-2</v>
      </c>
      <c r="J31" s="23">
        <f t="shared" si="2"/>
        <v>4.2243604787608469E-3</v>
      </c>
      <c r="K31" s="23">
        <f>E30/100/Inputs!$B$17-'Valuation and Bond'!$B$44*(E31-E30)/100+0.5*'Valuation and Bond'!$B$45*((E31-E30)/100)^2</f>
        <v>2.5524486801917863E-3</v>
      </c>
      <c r="L31" s="23">
        <f t="shared" si="3"/>
        <v>-1.1292719167904863E-2</v>
      </c>
      <c r="M31" s="23">
        <f t="shared" si="4"/>
        <v>-1.0180430181838604E-2</v>
      </c>
      <c r="N31" s="23">
        <f>SUMPRODUCT(H31:K31,Portfolio!$B$23:$E$23)</f>
        <v>-8.7197802268866847E-3</v>
      </c>
      <c r="O31" s="23">
        <f>SUMPRODUCT(H31:K31,Portfolio!$B$24:$E$24)</f>
        <v>-3.0345919710337756E-3</v>
      </c>
      <c r="Q31" s="21">
        <f t="shared" si="6"/>
        <v>106.21480022400893</v>
      </c>
      <c r="R31" s="21">
        <f t="shared" si="5"/>
        <v>108.76611246030264</v>
      </c>
      <c r="S31" s="22">
        <f>Q31/MAX(Q$6:Q31)-1</f>
        <v>-1.1206533618173697E-2</v>
      </c>
      <c r="T31" s="22">
        <f>R31/MAX(R$6:R31)-1</f>
        <v>-2.2743485376190753E-2</v>
      </c>
    </row>
    <row r="32" spans="1:20" x14ac:dyDescent="0.2">
      <c r="A32" s="18">
        <v>42846</v>
      </c>
      <c r="B32" s="19">
        <v>273.08999999999997</v>
      </c>
      <c r="C32" s="19">
        <v>79.81</v>
      </c>
      <c r="D32" s="19">
        <v>43.07</v>
      </c>
      <c r="E32" s="19">
        <v>1.76</v>
      </c>
      <c r="F32" s="20">
        <v>2348.6999999999998</v>
      </c>
      <c r="H32" s="23">
        <f t="shared" si="0"/>
        <v>1.8992537313432756E-2</v>
      </c>
      <c r="I32" s="23">
        <f t="shared" si="1"/>
        <v>2.5308324768756441E-2</v>
      </c>
      <c r="J32" s="23">
        <f t="shared" si="2"/>
        <v>6.5435849497545995E-3</v>
      </c>
      <c r="K32" s="23">
        <f>E31/100/Inputs!$B$17-'Valuation and Bond'!$B$44*(E32-E31)/100+0.5*'Valuation and Bond'!$B$45*((E32-E31)/100)^2</f>
        <v>3.42078027527614E-3</v>
      </c>
      <c r="L32" s="23">
        <f t="shared" si="3"/>
        <v>8.50186783459983E-3</v>
      </c>
      <c r="M32" s="23">
        <f t="shared" si="4"/>
        <v>1.3760874343316873E-2</v>
      </c>
      <c r="N32" s="23">
        <f>SUMPRODUCT(H32:K32,Portfolio!$B$23:$E$23)</f>
        <v>1.3566306826804984E-2</v>
      </c>
      <c r="O32" s="23">
        <f>SUMPRODUCT(H32:K32,Portfolio!$B$24:$E$24)</f>
        <v>9.3835845916771729E-3</v>
      </c>
      <c r="Q32" s="21">
        <f t="shared" si="6"/>
        <v>107.67640874329201</v>
      </c>
      <c r="R32" s="21">
        <f t="shared" si="5"/>
        <v>109.69082757332335</v>
      </c>
      <c r="S32" s="22">
        <f>Q32/MAX(Q$6:Q32)-1</f>
        <v>0</v>
      </c>
      <c r="T32" s="22">
        <f>R32/MAX(R$6:R32)-1</f>
        <v>-1.4434979648357493E-2</v>
      </c>
    </row>
    <row r="33" spans="1:20" x14ac:dyDescent="0.2">
      <c r="A33" s="18">
        <v>42853</v>
      </c>
      <c r="B33" s="19">
        <v>269.45</v>
      </c>
      <c r="C33" s="19">
        <v>79.180000000000007</v>
      </c>
      <c r="D33" s="19">
        <v>43.15</v>
      </c>
      <c r="E33" s="19">
        <v>1.83</v>
      </c>
      <c r="F33" s="20">
        <v>2384.1999999999998</v>
      </c>
      <c r="H33" s="23">
        <f t="shared" si="0"/>
        <v>-1.3328939177560506E-2</v>
      </c>
      <c r="I33" s="23">
        <f t="shared" si="1"/>
        <v>-7.8937476506703019E-3</v>
      </c>
      <c r="J33" s="23">
        <f t="shared" si="2"/>
        <v>1.8574413745064966E-3</v>
      </c>
      <c r="K33" s="23">
        <f>E32/100/Inputs!$B$17-'Valuation and Bond'!$B$44*(E33-E32)/100+0.5*'Valuation and Bond'!$B$45*((E33-E32)/100)^2</f>
        <v>-2.7193154142227606E-3</v>
      </c>
      <c r="L33" s="23">
        <f t="shared" si="3"/>
        <v>1.5114744326648832E-2</v>
      </c>
      <c r="M33" s="23">
        <f t="shared" si="4"/>
        <v>-4.2879977846965759E-3</v>
      </c>
      <c r="N33" s="23">
        <f>SUMPRODUCT(H33:K33,Portfolio!$B$23:$E$23)</f>
        <v>-5.5211402169867679E-3</v>
      </c>
      <c r="O33" s="23">
        <f>SUMPRODUCT(H33:K33,Portfolio!$B$24:$E$24)</f>
        <v>-3.2218432210800512E-3</v>
      </c>
      <c r="Q33" s="21">
        <f t="shared" si="6"/>
        <v>107.2146925411367</v>
      </c>
      <c r="R33" s="21">
        <f t="shared" si="5"/>
        <v>111.34877638707265</v>
      </c>
      <c r="S33" s="22">
        <f>Q33/MAX(Q$6:Q33)-1</f>
        <v>-4.2879977846965733E-3</v>
      </c>
      <c r="T33" s="22">
        <f>R33/MAX(R$6:R33)-1</f>
        <v>0</v>
      </c>
    </row>
    <row r="34" spans="1:20" x14ac:dyDescent="0.2">
      <c r="A34" s="18">
        <v>42860</v>
      </c>
      <c r="B34" s="19">
        <v>273.02999999999997</v>
      </c>
      <c r="C34" s="19">
        <v>79.63</v>
      </c>
      <c r="D34" s="19">
        <v>43.69</v>
      </c>
      <c r="E34" s="19">
        <v>1.86</v>
      </c>
      <c r="F34" s="20">
        <v>2399.3000000000002</v>
      </c>
      <c r="H34" s="23">
        <f t="shared" si="0"/>
        <v>1.3286323993319638E-2</v>
      </c>
      <c r="I34" s="23">
        <f t="shared" si="1"/>
        <v>5.6832533468045288E-3</v>
      </c>
      <c r="J34" s="23">
        <f t="shared" si="2"/>
        <v>1.2514484356894506E-2</v>
      </c>
      <c r="K34" s="23">
        <f>E33/100/Inputs!$B$17-'Valuation and Bond'!$B$44*(E34-E33)/100+0.5*'Valuation and Bond'!$B$45*((E34-E33)/100)^2</f>
        <v>-9.5990952471738944E-4</v>
      </c>
      <c r="L34" s="23">
        <f t="shared" si="3"/>
        <v>6.3333612951934626E-3</v>
      </c>
      <c r="M34" s="23">
        <f t="shared" si="4"/>
        <v>7.6675680990687641E-3</v>
      </c>
      <c r="N34" s="23">
        <f>SUMPRODUCT(H34:K34,Portfolio!$B$23:$E$23)</f>
        <v>7.6310380430753208E-3</v>
      </c>
      <c r="O34" s="23">
        <f>SUMPRODUCT(H34:K34,Portfolio!$B$24:$E$24)</f>
        <v>6.319761947649034E-3</v>
      </c>
      <c r="Q34" s="21">
        <f t="shared" si="6"/>
        <v>108.03676849741659</v>
      </c>
      <c r="R34" s="21">
        <f t="shared" si="5"/>
        <v>112.05398841770969</v>
      </c>
      <c r="S34" s="22">
        <f>Q34/MAX(Q$6:Q34)-1</f>
        <v>0</v>
      </c>
      <c r="T34" s="22">
        <f>R34/MAX(R$6:R34)-1</f>
        <v>0</v>
      </c>
    </row>
    <row r="35" spans="1:20" x14ac:dyDescent="0.2">
      <c r="A35" s="18">
        <v>42867</v>
      </c>
      <c r="B35" s="19">
        <v>271.26</v>
      </c>
      <c r="C35" s="19">
        <v>80.69</v>
      </c>
      <c r="D35" s="19">
        <v>43.59</v>
      </c>
      <c r="E35" s="19">
        <v>1.91</v>
      </c>
      <c r="F35" s="20">
        <v>2390.9</v>
      </c>
      <c r="H35" s="23">
        <f t="shared" si="0"/>
        <v>-6.4828040874628234E-3</v>
      </c>
      <c r="I35" s="23">
        <f t="shared" si="1"/>
        <v>1.3311565992716323E-2</v>
      </c>
      <c r="J35" s="23">
        <f t="shared" si="2"/>
        <v>-2.2888532845043441E-3</v>
      </c>
      <c r="K35" s="23">
        <f>E34/100/Inputs!$B$17-'Valuation and Bond'!$B$44*(E35-E34)/100+0.5*'Valuation and Bond'!$B$45*((E35-E34)/100)^2</f>
        <v>-1.8275647243953209E-3</v>
      </c>
      <c r="L35" s="23">
        <f t="shared" si="3"/>
        <v>-3.50102113116324E-3</v>
      </c>
      <c r="M35" s="23">
        <f t="shared" si="4"/>
        <v>2.395844307608282E-3</v>
      </c>
      <c r="N35" s="23">
        <f>SUMPRODUCT(H35:K35,Portfolio!$B$23:$E$23)</f>
        <v>6.7808597408845869E-4</v>
      </c>
      <c r="O35" s="23">
        <f>SUMPRODUCT(H35:K35,Portfolio!$B$24:$E$24)</f>
        <v>-5.7944260665806666E-4</v>
      </c>
      <c r="Q35" s="21">
        <f t="shared" si="6"/>
        <v>108.2956077742335</v>
      </c>
      <c r="R35" s="21">
        <f t="shared" si="5"/>
        <v>111.66168503642817</v>
      </c>
      <c r="S35" s="22">
        <f>Q35/MAX(Q$6:Q35)-1</f>
        <v>0</v>
      </c>
      <c r="T35" s="22">
        <f>R35/MAX(R$6:R35)-1</f>
        <v>-3.50102113116324E-3</v>
      </c>
    </row>
    <row r="36" spans="1:20" x14ac:dyDescent="0.2">
      <c r="A36" s="18">
        <v>42874</v>
      </c>
      <c r="B36" s="19">
        <v>272.79000000000002</v>
      </c>
      <c r="C36" s="19">
        <v>80.3</v>
      </c>
      <c r="D36" s="19">
        <v>43.9</v>
      </c>
      <c r="E36" s="19">
        <v>1.81</v>
      </c>
      <c r="F36" s="20">
        <v>2381.6999999999998</v>
      </c>
      <c r="H36" s="23">
        <f t="shared" si="0"/>
        <v>5.6403450564035396E-3</v>
      </c>
      <c r="I36" s="23">
        <f t="shared" si="1"/>
        <v>-4.8333126781509028E-3</v>
      </c>
      <c r="J36" s="23">
        <f t="shared" si="2"/>
        <v>7.1117228722183956E-3</v>
      </c>
      <c r="K36" s="23">
        <f>E35/100/Inputs!$B$17-'Valuation and Bond'!$B$44*(E36-E35)/100+0.5*'Valuation and Bond'!$B$45*((E36-E35)/100)^2</f>
        <v>4.754781316180047E-3</v>
      </c>
      <c r="L36" s="23">
        <f t="shared" si="3"/>
        <v>-3.8479233761345988E-3</v>
      </c>
      <c r="M36" s="23">
        <f t="shared" si="4"/>
        <v>2.503515268793389E-3</v>
      </c>
      <c r="N36" s="23">
        <f>SUMPRODUCT(H36:K36,Portfolio!$B$23:$E$23)</f>
        <v>3.1683841416627698E-3</v>
      </c>
      <c r="O36" s="23">
        <f>SUMPRODUCT(H36:K36,Portfolio!$B$24:$E$24)</f>
        <v>4.3977629424756266E-3</v>
      </c>
      <c r="Q36" s="21">
        <f t="shared" si="6"/>
        <v>108.56672748183955</v>
      </c>
      <c r="R36" s="21">
        <f t="shared" si="5"/>
        <v>111.23201942835792</v>
      </c>
      <c r="S36" s="22">
        <f>Q36/MAX(Q$6:Q36)-1</f>
        <v>0</v>
      </c>
      <c r="T36" s="22">
        <f>R36/MAX(R$6:R36)-1</f>
        <v>-7.3354728462469154E-3</v>
      </c>
    </row>
    <row r="37" spans="1:20" x14ac:dyDescent="0.2">
      <c r="A37" s="18">
        <v>42881</v>
      </c>
      <c r="B37" s="19">
        <v>283.64999999999998</v>
      </c>
      <c r="C37" s="19">
        <v>81.12</v>
      </c>
      <c r="D37" s="19">
        <v>45.39</v>
      </c>
      <c r="E37" s="19">
        <v>1.8</v>
      </c>
      <c r="F37" s="20">
        <v>2415.8000000000002</v>
      </c>
      <c r="H37" s="23">
        <f t="shared" si="0"/>
        <v>3.9810843505993398E-2</v>
      </c>
      <c r="I37" s="23">
        <f t="shared" si="1"/>
        <v>1.0211706102117191E-2</v>
      </c>
      <c r="J37" s="23">
        <f t="shared" si="2"/>
        <v>3.394077448747157E-2</v>
      </c>
      <c r="K37" s="23">
        <f>E36/100/Inputs!$B$17-'Valuation and Bond'!$B$44*(E37-E36)/100+0.5*'Valuation and Bond'!$B$45*((E37-E36)/100)^2</f>
        <v>7.8580671188233423E-4</v>
      </c>
      <c r="L37" s="23">
        <f t="shared" si="3"/>
        <v>1.4317504303648754E-2</v>
      </c>
      <c r="M37" s="23">
        <f t="shared" si="4"/>
        <v>2.0256972510140921E-2</v>
      </c>
      <c r="N37" s="23">
        <f>SUMPRODUCT(H37:K37,Portfolio!$B$23:$E$23)</f>
        <v>2.1187282701866123E-2</v>
      </c>
      <c r="O37" s="23">
        <f>SUMPRODUCT(H37:K37,Portfolio!$B$24:$E$24)</f>
        <v>1.8293710619502419E-2</v>
      </c>
      <c r="Q37" s="21">
        <f t="shared" si="6"/>
        <v>110.76596069595513</v>
      </c>
      <c r="R37" s="21">
        <f t="shared" si="5"/>
        <v>112.82458434522697</v>
      </c>
      <c r="S37" s="22">
        <f>Q37/MAX(Q$6:Q37)-1</f>
        <v>0</v>
      </c>
      <c r="T37" s="22">
        <f>R37/MAX(R$6:R37)-1</f>
        <v>0</v>
      </c>
    </row>
    <row r="38" spans="1:20" x14ac:dyDescent="0.2">
      <c r="A38" s="18">
        <v>42888</v>
      </c>
      <c r="B38" s="19">
        <v>281.76</v>
      </c>
      <c r="C38" s="19">
        <v>81.63</v>
      </c>
      <c r="D38" s="19">
        <v>45.89</v>
      </c>
      <c r="E38" s="19">
        <v>1.75</v>
      </c>
      <c r="F38" s="20">
        <v>2439.1</v>
      </c>
      <c r="H38" s="23">
        <f t="shared" si="0"/>
        <v>-6.6631411951347808E-3</v>
      </c>
      <c r="I38" s="23">
        <f t="shared" si="1"/>
        <v>6.286982248520534E-3</v>
      </c>
      <c r="J38" s="23">
        <f t="shared" si="2"/>
        <v>1.1015642211940957E-2</v>
      </c>
      <c r="K38" s="23">
        <f>E37/100/Inputs!$B$17-'Valuation and Bond'!$B$44*(E38-E37)/100+0.5*'Valuation and Bond'!$B$45*((E38-E37)/100)^2</f>
        <v>2.5370640648071808E-3</v>
      </c>
      <c r="L38" s="23">
        <f t="shared" si="3"/>
        <v>9.6448381488531965E-3</v>
      </c>
      <c r="M38" s="23">
        <f t="shared" si="4"/>
        <v>5.417029993147927E-3</v>
      </c>
      <c r="N38" s="23">
        <f>SUMPRODUCT(H38:K38,Portfolio!$B$23:$E$23)</f>
        <v>3.2941368325334727E-3</v>
      </c>
      <c r="O38" s="23">
        <f>SUMPRODUCT(H38:K38,Portfolio!$B$24:$E$24)</f>
        <v>4.7193411927585202E-3</v>
      </c>
      <c r="Q38" s="21">
        <f t="shared" si="6"/>
        <v>111.36598322726496</v>
      </c>
      <c r="R38" s="21">
        <f t="shared" si="5"/>
        <v>113.91275920044832</v>
      </c>
      <c r="S38" s="22">
        <f>Q38/MAX(Q$6:Q38)-1</f>
        <v>0</v>
      </c>
      <c r="T38" s="22">
        <f>R38/MAX(R$6:R38)-1</f>
        <v>0</v>
      </c>
    </row>
    <row r="39" spans="1:20" x14ac:dyDescent="0.2">
      <c r="A39" s="18">
        <v>42895</v>
      </c>
      <c r="B39" s="19">
        <v>277</v>
      </c>
      <c r="C39" s="19">
        <v>80.900000000000006</v>
      </c>
      <c r="D39" s="19">
        <v>45.32</v>
      </c>
      <c r="E39" s="19">
        <v>1.74</v>
      </c>
      <c r="F39" s="20">
        <v>2431.8000000000002</v>
      </c>
      <c r="H39" s="23">
        <f t="shared" si="0"/>
        <v>-1.6893810335036896E-2</v>
      </c>
      <c r="I39" s="23">
        <f t="shared" si="1"/>
        <v>-8.942790640695697E-3</v>
      </c>
      <c r="J39" s="23">
        <f t="shared" si="2"/>
        <v>-1.2421006755284347E-2</v>
      </c>
      <c r="K39" s="23">
        <f>E38/100/Inputs!$B$17-'Valuation and Bond'!$B$44*(E39-E38)/100+0.5*'Valuation and Bond'!$B$45*((E39-E38)/100)^2</f>
        <v>7.7426825034387274E-4</v>
      </c>
      <c r="L39" s="23">
        <f t="shared" si="3"/>
        <v>-2.9929072198761064E-3</v>
      </c>
      <c r="M39" s="23">
        <f t="shared" si="4"/>
        <v>-9.2267869106616614E-3</v>
      </c>
      <c r="N39" s="23">
        <f>SUMPRODUCT(H39:K39,Portfolio!$B$23:$E$23)</f>
        <v>-9.3708348701682671E-3</v>
      </c>
      <c r="O39" s="23">
        <f>SUMPRODUCT(H39:K39,Portfolio!$B$24:$E$24)</f>
        <v>-7.2589253208916252E-3</v>
      </c>
      <c r="Q39" s="21">
        <f t="shared" si="6"/>
        <v>110.33843303093066</v>
      </c>
      <c r="R39" s="21">
        <f t="shared" si="5"/>
        <v>113.5718288810013</v>
      </c>
      <c r="S39" s="22">
        <f>Q39/MAX(Q$6:Q39)-1</f>
        <v>-9.2267869106616995E-3</v>
      </c>
      <c r="T39" s="22">
        <f>R39/MAX(R$6:R39)-1</f>
        <v>-2.9929072198761064E-3</v>
      </c>
    </row>
    <row r="40" spans="1:20" x14ac:dyDescent="0.2">
      <c r="A40" s="18">
        <v>42902</v>
      </c>
      <c r="B40" s="19">
        <v>281.11</v>
      </c>
      <c r="C40" s="19">
        <v>79.7</v>
      </c>
      <c r="D40" s="19">
        <v>45.31</v>
      </c>
      <c r="E40" s="19">
        <v>1.76</v>
      </c>
      <c r="F40" s="20">
        <v>2433.1999999999998</v>
      </c>
      <c r="H40" s="23">
        <f t="shared" si="0"/>
        <v>1.4837545126353824E-2</v>
      </c>
      <c r="I40" s="23">
        <f t="shared" si="1"/>
        <v>-1.4833127317676165E-2</v>
      </c>
      <c r="J40" s="23">
        <f t="shared" si="2"/>
        <v>-2.2065313327446212E-4</v>
      </c>
      <c r="K40" s="23">
        <f>E39/100/Inputs!$B$17-'Valuation and Bond'!$B$44*(E40-E39)/100+0.5*'Valuation and Bond'!$B$45*((E40-E39)/100)^2</f>
        <v>-5.4016581060755428E-4</v>
      </c>
      <c r="L40" s="23">
        <f t="shared" si="3"/>
        <v>5.7570523891747882E-4</v>
      </c>
      <c r="M40" s="23">
        <f t="shared" si="4"/>
        <v>-3.1114608801928946E-3</v>
      </c>
      <c r="N40" s="23">
        <f>SUMPRODUCT(H40:K40,Portfolio!$B$23:$E$23)</f>
        <v>-1.8910028380108931E-4</v>
      </c>
      <c r="O40" s="23">
        <f>SUMPRODUCT(H40:K40,Portfolio!$B$24:$E$24)</f>
        <v>-3.4214803055639868E-4</v>
      </c>
      <c r="Q40" s="21">
        <f t="shared" si="6"/>
        <v>109.99511931297313</v>
      </c>
      <c r="R40" s="21">
        <f t="shared" si="5"/>
        <v>113.63721277788153</v>
      </c>
      <c r="S40" s="22">
        <f>Q40/MAX(Q$6:Q40)-1</f>
        <v>-1.2309539004332293E-2</v>
      </c>
      <c r="T40" s="22">
        <f>R40/MAX(R$6:R40)-1</f>
        <v>-2.4189250133246354E-3</v>
      </c>
    </row>
    <row r="41" spans="1:20" x14ac:dyDescent="0.2">
      <c r="A41" s="18">
        <v>42909</v>
      </c>
      <c r="B41" s="19">
        <v>280.64</v>
      </c>
      <c r="C41" s="19">
        <v>79.58</v>
      </c>
      <c r="D41" s="19">
        <v>45.25</v>
      </c>
      <c r="E41" s="19">
        <v>1.78</v>
      </c>
      <c r="F41" s="20">
        <v>2438.3000000000002</v>
      </c>
      <c r="H41" s="23">
        <f t="shared" si="0"/>
        <v>-1.6719433673652029E-3</v>
      </c>
      <c r="I41" s="23">
        <f t="shared" si="1"/>
        <v>-1.5056461731494108E-3</v>
      </c>
      <c r="J41" s="23">
        <f t="shared" si="2"/>
        <v>-1.3242109909512578E-3</v>
      </c>
      <c r="K41" s="23">
        <f>E40/100/Inputs!$B$17-'Valuation and Bond'!$B$44*(E41-E40)/100+0.5*'Valuation and Bond'!$B$45*((E41-E40)/100)^2</f>
        <v>-5.3631965676140042E-4</v>
      </c>
      <c r="L41" s="23">
        <f t="shared" si="3"/>
        <v>2.0960052605623058E-3</v>
      </c>
      <c r="M41" s="23">
        <f t="shared" si="4"/>
        <v>-1.2725808741135246E-3</v>
      </c>
      <c r="N41" s="23">
        <f>SUMPRODUCT(H41:K41,Portfolio!$B$23:$E$23)</f>
        <v>-1.2595300470568181E-3</v>
      </c>
      <c r="O41" s="23">
        <f>SUMPRODUCT(H41:K41,Portfolio!$B$24:$E$24)</f>
        <v>-1.0778991787181078E-3</v>
      </c>
      <c r="Q41" s="21">
        <f t="shared" si="6"/>
        <v>109.85514162788961</v>
      </c>
      <c r="R41" s="21">
        <f t="shared" si="5"/>
        <v>113.8753969736596</v>
      </c>
      <c r="S41" s="22">
        <f>Q41/MAX(Q$6:Q41)-1</f>
        <v>-1.3566454994539678E-2</v>
      </c>
      <c r="T41" s="22">
        <f>R41/MAX(R$6:R41)-1</f>
        <v>-3.2798983231518974E-4</v>
      </c>
    </row>
    <row r="42" spans="1:20" x14ac:dyDescent="0.2">
      <c r="A42" s="18">
        <v>42916</v>
      </c>
      <c r="B42" s="19">
        <v>277.61</v>
      </c>
      <c r="C42" s="19">
        <v>76.930000000000007</v>
      </c>
      <c r="D42" s="19">
        <v>44.85</v>
      </c>
      <c r="E42" s="19">
        <v>1.83</v>
      </c>
      <c r="F42" s="20">
        <v>2423.4</v>
      </c>
      <c r="H42" s="23">
        <f t="shared" si="0"/>
        <v>-1.0796750285062662E-2</v>
      </c>
      <c r="I42" s="23">
        <f t="shared" si="1"/>
        <v>-3.3299824076400975E-2</v>
      </c>
      <c r="J42" s="23">
        <f t="shared" si="2"/>
        <v>-8.8397790055247949E-3</v>
      </c>
      <c r="K42" s="23">
        <f>E41/100/Inputs!$B$17-'Valuation and Bond'!$B$44*(E42-E41)/100+0.5*'Valuation and Bond'!$B$45*((E42-E41)/100)^2</f>
        <v>-1.8429493397799459E-3</v>
      </c>
      <c r="L42" s="23">
        <f t="shared" si="3"/>
        <v>-6.1108149120289168E-3</v>
      </c>
      <c r="M42" s="23">
        <f t="shared" si="4"/>
        <v>-1.5771526640303735E-2</v>
      </c>
      <c r="N42" s="23">
        <f>SUMPRODUCT(H42:K42,Portfolio!$B$23:$E$23)</f>
        <v>-1.3694825676692094E-2</v>
      </c>
      <c r="O42" s="23">
        <f>SUMPRODUCT(H42:K42,Portfolio!$B$24:$E$24)</f>
        <v>-9.5318107045432917E-3</v>
      </c>
      <c r="Q42" s="21">
        <f t="shared" si="6"/>
        <v>108.122558335131</v>
      </c>
      <c r="R42" s="21">
        <f t="shared" si="5"/>
        <v>113.17952549971976</v>
      </c>
      <c r="S42" s="22">
        <f>Q42/MAX(Q$6:Q42)-1</f>
        <v>-2.9124017928482626E-2</v>
      </c>
      <c r="T42" s="22">
        <f>R42/MAX(R$6:R42)-1</f>
        <v>-6.4368004591857098E-3</v>
      </c>
    </row>
    <row r="43" spans="1:20" x14ac:dyDescent="0.2">
      <c r="A43" s="18">
        <v>42923</v>
      </c>
      <c r="B43" s="19">
        <v>285.2</v>
      </c>
      <c r="C43" s="19">
        <v>78.48</v>
      </c>
      <c r="D43" s="19">
        <v>44.39</v>
      </c>
      <c r="E43" s="19">
        <v>1.94</v>
      </c>
      <c r="F43" s="20">
        <v>2425.1999999999998</v>
      </c>
      <c r="H43" s="23">
        <f t="shared" si="0"/>
        <v>2.7340513670256694E-2</v>
      </c>
      <c r="I43" s="23">
        <f t="shared" si="1"/>
        <v>2.0148186663200285E-2</v>
      </c>
      <c r="J43" s="23">
        <f t="shared" si="2"/>
        <v>-1.025641025641022E-2</v>
      </c>
      <c r="K43" s="23">
        <f>E42/100/Inputs!$B$17-'Valuation and Bond'!$B$44*(E43-E42)/100+0.5*'Valuation and Bond'!$B$45*((E43-E42)/100)^2</f>
        <v>-4.4481801874029989E-3</v>
      </c>
      <c r="L43" s="23">
        <f t="shared" si="3"/>
        <v>7.4275810844248724E-4</v>
      </c>
      <c r="M43" s="23">
        <f t="shared" si="4"/>
        <v>5.920345161146057E-3</v>
      </c>
      <c r="N43" s="23">
        <f>SUMPRODUCT(H43:K43,Portfolio!$B$23:$E$23)</f>
        <v>8.1960274724109401E-3</v>
      </c>
      <c r="O43" s="23">
        <f>SUMPRODUCT(H43:K43,Portfolio!$B$24:$E$24)</f>
        <v>9.3869389749646343E-4</v>
      </c>
      <c r="Q43" s="21">
        <f t="shared" si="6"/>
        <v>108.76268120018112</v>
      </c>
      <c r="R43" s="21">
        <f t="shared" si="5"/>
        <v>113.26359050999434</v>
      </c>
      <c r="S43" s="22">
        <f>Q43/MAX(Q$6:Q43)-1</f>
        <v>-2.3376097005952667E-2</v>
      </c>
      <c r="T43" s="22">
        <f>R43/MAX(R$6:R43)-1</f>
        <v>-5.6988233364767549E-3</v>
      </c>
    </row>
    <row r="44" spans="1:20" x14ac:dyDescent="0.2">
      <c r="A44" s="18">
        <v>42930</v>
      </c>
      <c r="B44" s="19">
        <v>288.13</v>
      </c>
      <c r="C44" s="19">
        <v>82</v>
      </c>
      <c r="D44" s="19">
        <v>44.68</v>
      </c>
      <c r="E44" s="19">
        <v>1.9</v>
      </c>
      <c r="F44" s="20">
        <v>2459.3000000000002</v>
      </c>
      <c r="H44" s="23">
        <f t="shared" si="0"/>
        <v>1.027349228611496E-2</v>
      </c>
      <c r="I44" s="23">
        <f t="shared" si="1"/>
        <v>4.4852191641182371E-2</v>
      </c>
      <c r="J44" s="23">
        <f t="shared" si="2"/>
        <v>6.5330029285874947E-3</v>
      </c>
      <c r="K44" s="23">
        <f>E43/100/Inputs!$B$17-'Valuation and Bond'!$B$44*(E44-E43)/100+0.5*'Valuation and Bond'!$B$45*((E44-E43)/100)^2</f>
        <v>2.1253528430743348E-3</v>
      </c>
      <c r="L44" s="23">
        <f t="shared" si="3"/>
        <v>1.4060696025070207E-2</v>
      </c>
      <c r="M44" s="23">
        <f t="shared" si="4"/>
        <v>1.8792420026513559E-2</v>
      </c>
      <c r="N44" s="23">
        <f>SUMPRODUCT(H44:K44,Portfolio!$B$23:$E$23)</f>
        <v>1.5946009924739789E-2</v>
      </c>
      <c r="O44" s="23">
        <f>SUMPRODUCT(H44:K44,Portfolio!$B$24:$E$24)</f>
        <v>1.032555255811508E-2</v>
      </c>
      <c r="Q44" s="21">
        <f t="shared" si="6"/>
        <v>110.8065951885047</v>
      </c>
      <c r="R44" s="21">
        <f t="shared" si="5"/>
        <v>114.8561554268634</v>
      </c>
      <c r="S44" s="22">
        <f>Q44/MAX(Q$6:Q44)-1</f>
        <v>-5.0229704129556296E-3</v>
      </c>
      <c r="T44" s="22">
        <f>R44/MAX(R$6:R44)-1</f>
        <v>0</v>
      </c>
    </row>
    <row r="45" spans="1:20" x14ac:dyDescent="0.2">
      <c r="A45" s="18">
        <v>42937</v>
      </c>
      <c r="B45" s="19">
        <v>289.12</v>
      </c>
      <c r="C45" s="19">
        <v>81.7</v>
      </c>
      <c r="D45" s="19">
        <v>45.03</v>
      </c>
      <c r="E45" s="19">
        <v>1.83</v>
      </c>
      <c r="F45" s="20">
        <v>2472.5</v>
      </c>
      <c r="H45" s="23">
        <f t="shared" si="0"/>
        <v>3.4359490507758217E-3</v>
      </c>
      <c r="I45" s="23">
        <f t="shared" si="1"/>
        <v>-3.6585365853658569E-3</v>
      </c>
      <c r="J45" s="23">
        <f t="shared" si="2"/>
        <v>7.8334825425245835E-3</v>
      </c>
      <c r="K45" s="23">
        <f>E44/100/Inputs!$B$17-'Valuation and Bond'!$B$44*(E45-E44)/100+0.5*'Valuation and Bond'!$B$45*((E45-E44)/100)^2</f>
        <v>3.4342418137376686E-3</v>
      </c>
      <c r="L45" s="23">
        <f t="shared" si="3"/>
        <v>5.3673809620622404E-3</v>
      </c>
      <c r="M45" s="23">
        <f t="shared" si="4"/>
        <v>2.5785948969066445E-3</v>
      </c>
      <c r="N45" s="23">
        <f>SUMPRODUCT(H45:K45,Portfolio!$B$23:$E$23)</f>
        <v>2.7612842054180542E-3</v>
      </c>
      <c r="O45" s="23">
        <f>SUMPRODUCT(H45:K45,Portfolio!$B$24:$E$24)</f>
        <v>3.985400851390708E-3</v>
      </c>
      <c r="Q45" s="21">
        <f t="shared" si="6"/>
        <v>111.09232050940138</v>
      </c>
      <c r="R45" s="21">
        <f t="shared" si="5"/>
        <v>115.4726321688772</v>
      </c>
      <c r="S45" s="22">
        <f>Q45/MAX(Q$6:Q45)-1</f>
        <v>-2.457327721923197E-3</v>
      </c>
      <c r="T45" s="22">
        <f>R45/MAX(R$6:R45)-1</f>
        <v>0</v>
      </c>
    </row>
    <row r="46" spans="1:20" x14ac:dyDescent="0.2">
      <c r="A46" s="18">
        <v>42944</v>
      </c>
      <c r="B46" s="19">
        <v>290.41000000000003</v>
      </c>
      <c r="C46" s="19">
        <v>80.709999999999994</v>
      </c>
      <c r="D46" s="19">
        <v>46.01</v>
      </c>
      <c r="E46" s="19">
        <v>1.85</v>
      </c>
      <c r="F46" s="20">
        <v>2472.1</v>
      </c>
      <c r="H46" s="23">
        <f t="shared" si="0"/>
        <v>4.461815163254057E-3</v>
      </c>
      <c r="I46" s="23">
        <f t="shared" si="1"/>
        <v>-1.211750305997561E-2</v>
      </c>
      <c r="J46" s="23">
        <f t="shared" si="2"/>
        <v>2.1763268931823232E-2</v>
      </c>
      <c r="K46" s="23">
        <f>E45/100/Inputs!$B$17-'Valuation and Bond'!$B$44*(E46-E45)/100+0.5*'Valuation and Bond'!$B$45*((E46-E45)/100)^2</f>
        <v>-5.2285811829986195E-4</v>
      </c>
      <c r="L46" s="23">
        <f t="shared" si="3"/>
        <v>-1.6177957532870213E-4</v>
      </c>
      <c r="M46" s="23">
        <f t="shared" si="4"/>
        <v>3.8329461401695806E-3</v>
      </c>
      <c r="N46" s="23">
        <f>SUMPRODUCT(H46:K46,Portfolio!$B$23:$E$23)</f>
        <v>3.3961807292004543E-3</v>
      </c>
      <c r="O46" s="23">
        <f>SUMPRODUCT(H46:K46,Portfolio!$B$24:$E$24)</f>
        <v>6.1328465092912619E-3</v>
      </c>
      <c r="Q46" s="21">
        <f t="shared" si="6"/>
        <v>111.51813139050037</v>
      </c>
      <c r="R46" s="21">
        <f t="shared" si="5"/>
        <v>115.45395105548283</v>
      </c>
      <c r="S46" s="22">
        <f>Q46/MAX(Q$6:Q46)-1</f>
        <v>0</v>
      </c>
      <c r="T46" s="22">
        <f>R46/MAX(R$6:R46)-1</f>
        <v>-1.6177957532870213E-4</v>
      </c>
    </row>
    <row r="47" spans="1:20" x14ac:dyDescent="0.2">
      <c r="A47" s="18">
        <v>42951</v>
      </c>
      <c r="B47" s="19">
        <v>297</v>
      </c>
      <c r="C47" s="19">
        <v>81.430000000000007</v>
      </c>
      <c r="D47" s="19">
        <v>45.5</v>
      </c>
      <c r="E47" s="19">
        <v>1.81</v>
      </c>
      <c r="F47" s="20">
        <v>2476.8000000000002</v>
      </c>
      <c r="H47" s="23">
        <f t="shared" si="0"/>
        <v>2.2692056058675636E-2</v>
      </c>
      <c r="I47" s="23">
        <f t="shared" si="1"/>
        <v>8.9208276545658105E-3</v>
      </c>
      <c r="J47" s="23">
        <f t="shared" si="2"/>
        <v>-1.1084546837643927E-2</v>
      </c>
      <c r="K47" s="23">
        <f>E46/100/Inputs!$B$17-'Valuation and Bond'!$B$44*(E47-E46)/100+0.5*'Valuation and Bond'!$B$45*((E47-E46)/100)^2</f>
        <v>2.1080451507666425E-3</v>
      </c>
      <c r="L47" s="23">
        <f t="shared" si="3"/>
        <v>1.9012175882853199E-3</v>
      </c>
      <c r="M47" s="23">
        <f t="shared" si="4"/>
        <v>2.6311450262297429E-3</v>
      </c>
      <c r="N47" s="23">
        <f>SUMPRODUCT(H47:K47,Portfolio!$B$23:$E$23)</f>
        <v>5.6590955065910402E-3</v>
      </c>
      <c r="O47" s="23">
        <f>SUMPRODUCT(H47:K47,Portfolio!$B$24:$E$24)</f>
        <v>1.195005653824461E-3</v>
      </c>
      <c r="Q47" s="21">
        <f t="shared" si="6"/>
        <v>111.81155176724292</v>
      </c>
      <c r="R47" s="21">
        <f t="shared" si="5"/>
        <v>115.67345413786654</v>
      </c>
      <c r="S47" s="22">
        <f>Q47/MAX(Q$6:Q47)-1</f>
        <v>0</v>
      </c>
      <c r="T47" s="22">
        <f>R47/MAX(R$6:R47)-1</f>
        <v>0</v>
      </c>
    </row>
    <row r="48" spans="1:20" x14ac:dyDescent="0.2">
      <c r="A48" s="18">
        <v>42958</v>
      </c>
      <c r="B48" s="19">
        <v>303.75</v>
      </c>
      <c r="C48" s="19">
        <v>80.89</v>
      </c>
      <c r="D48" s="19">
        <v>45.59</v>
      </c>
      <c r="E48" s="19">
        <v>1.8</v>
      </c>
      <c r="F48" s="20">
        <v>2441.3000000000002</v>
      </c>
      <c r="H48" s="23">
        <f t="shared" si="0"/>
        <v>2.2727272727272707E-2</v>
      </c>
      <c r="I48" s="23">
        <f t="shared" si="1"/>
        <v>-6.6314626059192916E-3</v>
      </c>
      <c r="J48" s="23">
        <f t="shared" si="2"/>
        <v>1.9780219780221042E-3</v>
      </c>
      <c r="K48" s="23">
        <f>E47/100/Inputs!$B$17-'Valuation and Bond'!$B$44*(E48-E47)/100+0.5*'Valuation and Bond'!$B$45*((E48-E47)/100)^2</f>
        <v>7.8580671188233423E-4</v>
      </c>
      <c r="L48" s="23">
        <f t="shared" si="3"/>
        <v>-1.4333010335917273E-2</v>
      </c>
      <c r="M48" s="23">
        <f t="shared" si="4"/>
        <v>1.6477247363691945E-3</v>
      </c>
      <c r="N48" s="23">
        <f>SUMPRODUCT(H48:K48,Portfolio!$B$23:$E$23)</f>
        <v>4.7149097028144635E-3</v>
      </c>
      <c r="O48" s="23">
        <f>SUMPRODUCT(H48:K48,Portfolio!$B$24:$E$24)</f>
        <v>3.0358185342307582E-3</v>
      </c>
      <c r="Q48" s="21">
        <f t="shared" si="6"/>
        <v>111.99578642690162</v>
      </c>
      <c r="R48" s="21">
        <f t="shared" si="5"/>
        <v>114.01550532411724</v>
      </c>
      <c r="S48" s="22">
        <f>Q48/MAX(Q$6:Q48)-1</f>
        <v>0</v>
      </c>
      <c r="T48" s="22">
        <f>R48/MAX(R$6:R48)-1</f>
        <v>-1.4333010335917273E-2</v>
      </c>
    </row>
    <row r="49" spans="1:20" x14ac:dyDescent="0.2">
      <c r="A49" s="18">
        <v>42965</v>
      </c>
      <c r="B49" s="19">
        <v>299.2</v>
      </c>
      <c r="C49" s="19">
        <v>79.97</v>
      </c>
      <c r="D49" s="19">
        <v>45.67</v>
      </c>
      <c r="E49" s="19">
        <v>1.78</v>
      </c>
      <c r="F49" s="20">
        <v>2425.6</v>
      </c>
      <c r="H49" s="23">
        <f t="shared" si="0"/>
        <v>-1.4979423868312747E-2</v>
      </c>
      <c r="I49" s="23">
        <f t="shared" si="1"/>
        <v>-1.1373470144640851E-2</v>
      </c>
      <c r="J49" s="23">
        <f t="shared" si="2"/>
        <v>1.7547707830665171E-3</v>
      </c>
      <c r="K49" s="23">
        <f>E48/100/Inputs!$B$17-'Valuation and Bond'!$B$44*(E49-E48)/100+0.5*'Valuation and Bond'!$B$45*((E49-E48)/100)^2</f>
        <v>1.2218395512272964E-3</v>
      </c>
      <c r="L49" s="23">
        <f t="shared" si="3"/>
        <v>-6.430999877114818E-3</v>
      </c>
      <c r="M49" s="23">
        <f t="shared" si="4"/>
        <v>-4.9014157607525106E-3</v>
      </c>
      <c r="N49" s="23">
        <f>SUMPRODUCT(H49:K49,Portfolio!$B$23:$E$23)</f>
        <v>-5.8440709196649464E-3</v>
      </c>
      <c r="O49" s="23">
        <f>SUMPRODUCT(H49:K49,Portfolio!$B$24:$E$24)</f>
        <v>-2.3536184990604137E-3</v>
      </c>
      <c r="Q49" s="21">
        <f t="shared" si="6"/>
        <v>111.44684851417092</v>
      </c>
      <c r="R49" s="21">
        <f t="shared" si="5"/>
        <v>113.28227162338867</v>
      </c>
      <c r="S49" s="22">
        <f>Q49/MAX(Q$6:Q49)-1</f>
        <v>-4.9014157607525366E-3</v>
      </c>
      <c r="T49" s="22">
        <f>R49/MAX(R$6:R49)-1</f>
        <v>-2.0671834625323071E-2</v>
      </c>
    </row>
    <row r="50" spans="1:20" x14ac:dyDescent="0.2">
      <c r="A50" s="18">
        <v>42972</v>
      </c>
      <c r="B50" s="19">
        <v>302.8</v>
      </c>
      <c r="C50" s="19">
        <v>80.98</v>
      </c>
      <c r="D50" s="19">
        <v>45.57</v>
      </c>
      <c r="E50" s="19">
        <v>1.77</v>
      </c>
      <c r="F50" s="20">
        <v>2443.1</v>
      </c>
      <c r="H50" s="23">
        <f t="shared" si="0"/>
        <v>1.2032085561497485E-2</v>
      </c>
      <c r="I50" s="23">
        <f t="shared" si="1"/>
        <v>1.2629736151056781E-2</v>
      </c>
      <c r="J50" s="23">
        <f t="shared" si="2"/>
        <v>-2.1896211955332312E-3</v>
      </c>
      <c r="K50" s="23">
        <f>E49/100/Inputs!$B$17-'Valuation and Bond'!$B$44*(E50-E49)/100+0.5*'Valuation and Bond'!$B$45*((E50-E49)/100)^2</f>
        <v>7.8003748111310348E-4</v>
      </c>
      <c r="L50" s="23">
        <f t="shared" si="3"/>
        <v>7.2147097625330225E-3</v>
      </c>
      <c r="M50" s="23">
        <f t="shared" si="4"/>
        <v>5.1790746094773103E-3</v>
      </c>
      <c r="N50" s="23">
        <f>SUMPRODUCT(H50:K50,Portfolio!$B$23:$E$23)</f>
        <v>5.813059499533535E-3</v>
      </c>
      <c r="O50" s="23">
        <f>SUMPRODUCT(H50:K50,Portfolio!$B$24:$E$24)</f>
        <v>2.7935031887950795E-3</v>
      </c>
      <c r="Q50" s="21">
        <f t="shared" si="6"/>
        <v>112.02404005761693</v>
      </c>
      <c r="R50" s="21">
        <f t="shared" si="5"/>
        <v>114.09957033439184</v>
      </c>
      <c r="S50" s="22">
        <f>Q50/MAX(Q$6:Q50)-1</f>
        <v>0</v>
      </c>
      <c r="T50" s="22">
        <f>R50/MAX(R$6:R50)-1</f>
        <v>-1.3606266149870927E-2</v>
      </c>
    </row>
    <row r="51" spans="1:20" x14ac:dyDescent="0.2">
      <c r="A51" s="18">
        <v>42979</v>
      </c>
      <c r="B51" s="19">
        <v>302.19</v>
      </c>
      <c r="C51" s="19">
        <v>82.54</v>
      </c>
      <c r="D51" s="19">
        <v>45.78</v>
      </c>
      <c r="E51" s="19">
        <v>1.72</v>
      </c>
      <c r="F51" s="20">
        <v>2476.6</v>
      </c>
      <c r="H51" s="23">
        <f t="shared" si="0"/>
        <v>-2.0145310435931707E-3</v>
      </c>
      <c r="I51" s="23">
        <f t="shared" si="1"/>
        <v>1.9264015806371937E-2</v>
      </c>
      <c r="J51" s="23">
        <f t="shared" si="2"/>
        <v>4.6082949308756671E-3</v>
      </c>
      <c r="K51" s="23">
        <f>E50/100/Inputs!$B$17-'Valuation and Bond'!$B$44*(E51-E50)/100+0.5*'Valuation and Bond'!$B$45*((E51-E50)/100)^2</f>
        <v>2.5312948340379497E-3</v>
      </c>
      <c r="L51" s="23">
        <f t="shared" si="3"/>
        <v>1.3712087102451864E-2</v>
      </c>
      <c r="M51" s="23">
        <f t="shared" si="4"/>
        <v>8.1517583588047726E-3</v>
      </c>
      <c r="N51" s="23">
        <f>SUMPRODUCT(H51:K51,Portfolio!$B$23:$E$23)</f>
        <v>6.0972686319230958E-3</v>
      </c>
      <c r="O51" s="23">
        <f>SUMPRODUCT(H51:K51,Portfolio!$B$24:$E$24)</f>
        <v>4.8642300679472526E-3</v>
      </c>
      <c r="Q51" s="21">
        <f t="shared" si="6"/>
        <v>112.9372329625437</v>
      </c>
      <c r="R51" s="21">
        <f t="shared" si="5"/>
        <v>115.66411358116936</v>
      </c>
      <c r="S51" s="22">
        <f>Q51/MAX(Q$6:Q51)-1</f>
        <v>0</v>
      </c>
      <c r="T51" s="22">
        <f>R51/MAX(R$6:R51)-1</f>
        <v>-8.0749354005149598E-5</v>
      </c>
    </row>
    <row r="52" spans="1:20" x14ac:dyDescent="0.2">
      <c r="A52" s="18">
        <v>42986</v>
      </c>
      <c r="B52" s="19">
        <v>302.89999999999998</v>
      </c>
      <c r="C52" s="19">
        <v>81.38</v>
      </c>
      <c r="D52" s="19">
        <v>46.3</v>
      </c>
      <c r="E52" s="19">
        <v>1.65</v>
      </c>
      <c r="F52" s="20">
        <v>2461.4</v>
      </c>
      <c r="H52" s="23">
        <f t="shared" si="0"/>
        <v>2.3495152056651758E-3</v>
      </c>
      <c r="I52" s="23">
        <f t="shared" si="1"/>
        <v>-1.4053792100799711E-2</v>
      </c>
      <c r="J52" s="23">
        <f t="shared" si="2"/>
        <v>1.1358671909130535E-2</v>
      </c>
      <c r="K52" s="23">
        <f>E51/100/Inputs!$B$17-'Valuation and Bond'!$B$44*(E52-E51)/100+0.5*'Valuation and Bond'!$B$45*((E52-E51)/100)^2</f>
        <v>3.3996264291222939E-3</v>
      </c>
      <c r="L52" s="23">
        <f t="shared" si="3"/>
        <v>-6.1374464992327571E-3</v>
      </c>
      <c r="M52" s="23">
        <f t="shared" si="4"/>
        <v>1.8703642664274567E-4</v>
      </c>
      <c r="N52" s="23">
        <f>SUMPRODUCT(H52:K52,Portfolio!$B$23:$E$23)</f>
        <v>7.6350536077957347E-4</v>
      </c>
      <c r="O52" s="23">
        <f>SUMPRODUCT(H52:K52,Portfolio!$B$24:$E$24)</f>
        <v>3.6491631831357895E-3</v>
      </c>
      <c r="Q52" s="21">
        <f t="shared" si="6"/>
        <v>112.95835633903194</v>
      </c>
      <c r="R52" s="21">
        <f t="shared" si="5"/>
        <v>114.95423127218375</v>
      </c>
      <c r="S52" s="22">
        <f>Q52/MAX(Q$6:Q52)-1</f>
        <v>0</v>
      </c>
      <c r="T52" s="22">
        <f>R52/MAX(R$6:R52)-1</f>
        <v>-6.2177002583979624E-3</v>
      </c>
    </row>
    <row r="53" spans="1:20" x14ac:dyDescent="0.2">
      <c r="A53" s="18">
        <v>42993</v>
      </c>
      <c r="B53" s="19">
        <v>302.3</v>
      </c>
      <c r="C53" s="19">
        <v>84.84</v>
      </c>
      <c r="D53" s="19">
        <v>46.18</v>
      </c>
      <c r="E53" s="19">
        <v>1.77</v>
      </c>
      <c r="F53" s="20">
        <v>2500.1999999999998</v>
      </c>
      <c r="H53" s="23">
        <f t="shared" si="0"/>
        <v>-1.980851766259395E-3</v>
      </c>
      <c r="I53" s="23">
        <f t="shared" si="1"/>
        <v>4.2516588842467451E-2</v>
      </c>
      <c r="J53" s="23">
        <f t="shared" si="2"/>
        <v>-2.5917926565873772E-3</v>
      </c>
      <c r="K53" s="23">
        <f>E52/100/Inputs!$B$17-'Valuation and Bond'!$B$44*(E53-E52)/100+0.5*'Valuation and Bond'!$B$45*((E53-E52)/100)^2</f>
        <v>-4.91781183127227E-3</v>
      </c>
      <c r="L53" s="23">
        <f t="shared" si="3"/>
        <v>1.5763386690501147E-2</v>
      </c>
      <c r="M53" s="23">
        <f t="shared" si="4"/>
        <v>1.1909719071132197E-2</v>
      </c>
      <c r="N53" s="23">
        <f>SUMPRODUCT(H53:K53,Portfolio!$B$23:$E$23)</f>
        <v>8.2565331470871028E-3</v>
      </c>
      <c r="O53" s="23">
        <f>SUMPRODUCT(H53:K53,Portfolio!$B$24:$E$24)</f>
        <v>2.5288996647768011E-3</v>
      </c>
      <c r="Q53" s="21">
        <f t="shared" si="6"/>
        <v>114.30365862976664</v>
      </c>
      <c r="R53" s="21">
        <f t="shared" si="5"/>
        <v>116.76629927143648</v>
      </c>
      <c r="S53" s="22">
        <f>Q53/MAX(Q$6:Q53)-1</f>
        <v>0</v>
      </c>
      <c r="T53" s="22">
        <f>R53/MAX(R$6:R53)-1</f>
        <v>0</v>
      </c>
    </row>
    <row r="54" spans="1:20" x14ac:dyDescent="0.2">
      <c r="A54" s="18">
        <v>43000</v>
      </c>
      <c r="B54" s="19">
        <v>308.54000000000002</v>
      </c>
      <c r="C54" s="19">
        <v>88.27</v>
      </c>
      <c r="D54" s="19">
        <v>45.49</v>
      </c>
      <c r="E54" s="19">
        <v>1.87</v>
      </c>
      <c r="F54" s="20">
        <v>2502.1999999999998</v>
      </c>
      <c r="H54" s="23">
        <f t="shared" si="0"/>
        <v>2.0641746609328493E-2</v>
      </c>
      <c r="I54" s="23">
        <f t="shared" si="1"/>
        <v>4.0429042904290391E-2</v>
      </c>
      <c r="J54" s="23">
        <f t="shared" si="2"/>
        <v>-1.4941533131225593E-2</v>
      </c>
      <c r="K54" s="23">
        <f>E53/100/Inputs!$B$17-'Valuation and Bond'!$B$44*(E54-E53)/100+0.5*'Valuation and Bond'!$B$45*((E54-E53)/100)^2</f>
        <v>-4.0244762622249648E-3</v>
      </c>
      <c r="L54" s="23">
        <f t="shared" si="3"/>
        <v>7.9993600511962804E-4</v>
      </c>
      <c r="M54" s="23">
        <f t="shared" si="4"/>
        <v>1.0228952899918223E-2</v>
      </c>
      <c r="N54" s="23">
        <f>SUMPRODUCT(H54:K54,Portfolio!$B$23:$E$23)</f>
        <v>1.0526195030042082E-2</v>
      </c>
      <c r="O54" s="23">
        <f>SUMPRODUCT(H54:K54,Portfolio!$B$24:$E$24)</f>
        <v>1.343038642034397E-3</v>
      </c>
      <c r="Q54" s="21">
        <f t="shared" si="6"/>
        <v>115.47286537017885</v>
      </c>
      <c r="R54" s="21">
        <f t="shared" si="5"/>
        <v>116.85970483840828</v>
      </c>
      <c r="S54" s="22">
        <f>Q54/MAX(Q$6:Q54)-1</f>
        <v>0</v>
      </c>
      <c r="T54" s="22">
        <f>R54/MAX(R$6:R54)-1</f>
        <v>0</v>
      </c>
    </row>
    <row r="55" spans="1:20" x14ac:dyDescent="0.2">
      <c r="A55" s="18">
        <v>43007</v>
      </c>
      <c r="B55" s="19">
        <v>310.29000000000002</v>
      </c>
      <c r="C55" s="19">
        <v>89.64</v>
      </c>
      <c r="D55" s="19">
        <v>45.01</v>
      </c>
      <c r="E55" s="19">
        <v>1.89</v>
      </c>
      <c r="F55" s="20">
        <v>2519.4</v>
      </c>
      <c r="H55" s="23">
        <f t="shared" si="0"/>
        <v>5.6718739871652879E-3</v>
      </c>
      <c r="I55" s="23">
        <f t="shared" si="1"/>
        <v>1.5520561912314434E-2</v>
      </c>
      <c r="J55" s="23">
        <f t="shared" si="2"/>
        <v>-1.0551769619696727E-2</v>
      </c>
      <c r="K55" s="23">
        <f>E54/100/Inputs!$B$17-'Valuation and Bond'!$B$44*(E55-E54)/100+0.5*'Valuation and Bond'!$B$45*((E55-E54)/100)^2</f>
        <v>-5.1516581060754446E-4</v>
      </c>
      <c r="L55" s="23">
        <f t="shared" si="3"/>
        <v>6.873950923187655E-3</v>
      </c>
      <c r="M55" s="23">
        <f t="shared" si="4"/>
        <v>2.2090533255940104E-3</v>
      </c>
      <c r="N55" s="23">
        <f>SUMPRODUCT(H55:K55,Portfolio!$B$23:$E$23)</f>
        <v>2.5313751172938628E-3</v>
      </c>
      <c r="O55" s="23">
        <f>SUMPRODUCT(H55:K55,Portfolio!$B$24:$E$24)</f>
        <v>-9.9392374029826308E-4</v>
      </c>
      <c r="Q55" s="21">
        <f t="shared" si="6"/>
        <v>115.72795108744072</v>
      </c>
      <c r="R55" s="21">
        <f t="shared" si="5"/>
        <v>117.66299271436569</v>
      </c>
      <c r="S55" s="22">
        <f>Q55/MAX(Q$6:Q55)-1</f>
        <v>0</v>
      </c>
      <c r="T55" s="22">
        <f>R55/MAX(R$6:R55)-1</f>
        <v>0</v>
      </c>
    </row>
    <row r="56" spans="1:20" x14ac:dyDescent="0.2">
      <c r="A56" s="18">
        <v>43014</v>
      </c>
      <c r="B56" s="19">
        <v>316.45999999999998</v>
      </c>
      <c r="C56" s="19">
        <v>91.35</v>
      </c>
      <c r="D56" s="19">
        <v>45.49</v>
      </c>
      <c r="E56" s="19">
        <v>1.94</v>
      </c>
      <c r="F56" s="20">
        <v>2549.3000000000002</v>
      </c>
      <c r="H56" s="23">
        <f t="shared" si="0"/>
        <v>1.9884624061361711E-2</v>
      </c>
      <c r="I56" s="23">
        <f t="shared" si="1"/>
        <v>1.9076305220883549E-2</v>
      </c>
      <c r="J56" s="23">
        <f t="shared" si="2"/>
        <v>1.0664296822928243E-2</v>
      </c>
      <c r="K56" s="23">
        <f>E55/100/Inputs!$B$17-'Valuation and Bond'!$B$44*(E56-E55)/100+0.5*'Valuation and Bond'!$B$45*((E56-E55)/100)^2</f>
        <v>-1.8217954936260998E-3</v>
      </c>
      <c r="L56" s="23">
        <f t="shared" si="3"/>
        <v>1.1867905056759609E-2</v>
      </c>
      <c r="M56" s="23">
        <f t="shared" si="4"/>
        <v>1.2164734490035061E-2</v>
      </c>
      <c r="N56" s="23">
        <f>SUMPRODUCT(H56:K56,Portfolio!$B$23:$E$23)</f>
        <v>1.1950857652886851E-2</v>
      </c>
      <c r="O56" s="23">
        <f>SUMPRODUCT(H56:K56,Portfolio!$B$24:$E$24)</f>
        <v>7.9721099892298627E-3</v>
      </c>
      <c r="Q56" s="21">
        <f t="shared" si="6"/>
        <v>117.1357508854952</v>
      </c>
      <c r="R56" s="21">
        <f t="shared" si="5"/>
        <v>119.05940594059398</v>
      </c>
      <c r="S56" s="22">
        <f>Q56/MAX(Q$6:Q56)-1</f>
        <v>0</v>
      </c>
      <c r="T56" s="22">
        <f>R56/MAX(R$6:R56)-1</f>
        <v>0</v>
      </c>
    </row>
    <row r="57" spans="1:20" x14ac:dyDescent="0.2">
      <c r="A57" s="18">
        <v>43021</v>
      </c>
      <c r="B57" s="19">
        <v>319.39</v>
      </c>
      <c r="C57" s="19">
        <v>93.59</v>
      </c>
      <c r="D57" s="19">
        <v>46.18</v>
      </c>
      <c r="E57" s="19">
        <v>1.94</v>
      </c>
      <c r="F57" s="20">
        <v>2553.1999999999998</v>
      </c>
      <c r="H57" s="23">
        <f t="shared" si="0"/>
        <v>9.2586740820324032E-3</v>
      </c>
      <c r="I57" s="23">
        <f t="shared" si="1"/>
        <v>2.452107279693494E-2</v>
      </c>
      <c r="J57" s="23">
        <f t="shared" si="2"/>
        <v>1.5168168828313844E-2</v>
      </c>
      <c r="K57" s="23">
        <f>E56/100/Inputs!$B$17-'Valuation and Bond'!$B$44*(E57-E56)/100+0.5*'Valuation and Bond'!$B$45*((E57-E56)/100)^2</f>
        <v>3.7307692307692308E-4</v>
      </c>
      <c r="L57" s="23">
        <f t="shared" si="3"/>
        <v>1.5298317185108434E-3</v>
      </c>
      <c r="M57" s="23">
        <f t="shared" si="4"/>
        <v>1.4512600703029132E-2</v>
      </c>
      <c r="N57" s="23">
        <f>SUMPRODUCT(H57:K57,Portfolio!$B$23:$E$23)</f>
        <v>1.2330248157589527E-2</v>
      </c>
      <c r="O57" s="23">
        <f>SUMPRODUCT(H57:K57,Portfolio!$B$24:$E$24)</f>
        <v>9.7267226788688294E-3</v>
      </c>
      <c r="Q57" s="21">
        <f t="shared" si="6"/>
        <v>118.83569526614589</v>
      </c>
      <c r="R57" s="21">
        <f t="shared" si="5"/>
        <v>119.24154679618896</v>
      </c>
      <c r="S57" s="22">
        <f>Q57/MAX(Q$6:Q57)-1</f>
        <v>0</v>
      </c>
      <c r="T57" s="22">
        <f>R57/MAX(R$6:R57)-1</f>
        <v>0</v>
      </c>
    </row>
    <row r="58" spans="1:20" x14ac:dyDescent="0.2">
      <c r="A58" s="18">
        <v>43028</v>
      </c>
      <c r="B58" s="19">
        <v>320</v>
      </c>
      <c r="C58" s="19">
        <v>95.18</v>
      </c>
      <c r="D58" s="19">
        <v>46.38</v>
      </c>
      <c r="E58" s="19">
        <v>1.98</v>
      </c>
      <c r="F58" s="20">
        <v>2575.1999999999998</v>
      </c>
      <c r="H58" s="23">
        <f t="shared" si="0"/>
        <v>1.9098907292025569E-3</v>
      </c>
      <c r="I58" s="23">
        <f t="shared" si="1"/>
        <v>1.6988994550699799E-2</v>
      </c>
      <c r="J58" s="23">
        <f t="shared" si="2"/>
        <v>4.3308791684713022E-3</v>
      </c>
      <c r="K58" s="23">
        <f>E57/100/Inputs!$B$17-'Valuation and Bond'!$B$44*(E58-E57)/100+0.5*'Valuation and Bond'!$B$45*((E58-E57)/100)^2</f>
        <v>-1.3755809575184434E-3</v>
      </c>
      <c r="L58" s="23">
        <f t="shared" si="3"/>
        <v>8.6166379445402619E-3</v>
      </c>
      <c r="M58" s="23">
        <f t="shared" si="4"/>
        <v>7.0459842512056491E-3</v>
      </c>
      <c r="N58" s="23">
        <f>SUMPRODUCT(H58:K58,Portfolio!$B$23:$E$23)</f>
        <v>5.4635458727138033E-3</v>
      </c>
      <c r="O58" s="23">
        <f>SUMPRODUCT(H58:K58,Portfolio!$B$24:$E$24)</f>
        <v>3.4121641848607154E-3</v>
      </c>
      <c r="Q58" s="21">
        <f t="shared" si="6"/>
        <v>119.67300970347222</v>
      </c>
      <c r="R58" s="21">
        <f t="shared" si="5"/>
        <v>120.26900803287867</v>
      </c>
      <c r="S58" s="22">
        <f>Q58/MAX(Q$6:Q58)-1</f>
        <v>0</v>
      </c>
      <c r="T58" s="22">
        <f>R58/MAX(R$6:R58)-1</f>
        <v>0</v>
      </c>
    </row>
    <row r="59" spans="1:20" x14ac:dyDescent="0.2">
      <c r="A59" s="18">
        <v>43035</v>
      </c>
      <c r="B59" s="19">
        <v>308</v>
      </c>
      <c r="C59" s="19">
        <v>97.5</v>
      </c>
      <c r="D59" s="19">
        <v>46.07</v>
      </c>
      <c r="E59" s="19">
        <v>2.04</v>
      </c>
      <c r="F59" s="20">
        <v>2581.1</v>
      </c>
      <c r="H59" s="23">
        <f t="shared" si="0"/>
        <v>-3.7499999999999978E-2</v>
      </c>
      <c r="I59" s="23">
        <f t="shared" si="1"/>
        <v>2.4374868669888583E-2</v>
      </c>
      <c r="J59" s="23">
        <f t="shared" si="2"/>
        <v>-6.6839154808107093E-3</v>
      </c>
      <c r="K59" s="23">
        <f>E58/100/Inputs!$B$17-'Valuation and Bond'!$B$44*(E59-E58)/100+0.5*'Valuation and Bond'!$B$45*((E59-E58)/100)^2</f>
        <v>-2.2408608253480511E-3</v>
      </c>
      <c r="L59" s="23">
        <f t="shared" si="3"/>
        <v>2.2910841876360166E-3</v>
      </c>
      <c r="M59" s="23">
        <f t="shared" si="4"/>
        <v>3.7096302122001097E-4</v>
      </c>
      <c r="N59" s="23">
        <f>SUMPRODUCT(H59:K59,Portfolio!$B$23:$E$23)</f>
        <v>-5.5124769090675388E-3</v>
      </c>
      <c r="O59" s="23">
        <f>SUMPRODUCT(H59:K59,Portfolio!$B$24:$E$24)</f>
        <v>-4.7667038915965559E-3</v>
      </c>
      <c r="Q59" s="21">
        <f t="shared" si="6"/>
        <v>119.71740396471031</v>
      </c>
      <c r="R59" s="21">
        <f t="shared" si="5"/>
        <v>120.54455445544546</v>
      </c>
      <c r="S59" s="22">
        <f>Q59/MAX(Q$6:Q59)-1</f>
        <v>0</v>
      </c>
      <c r="T59" s="22">
        <f>R59/MAX(R$6:R59)-1</f>
        <v>0</v>
      </c>
    </row>
    <row r="60" spans="1:20" x14ac:dyDescent="0.2">
      <c r="A60" s="18">
        <v>43042</v>
      </c>
      <c r="B60" s="19">
        <v>309.99</v>
      </c>
      <c r="C60" s="19">
        <v>97.98</v>
      </c>
      <c r="D60" s="19">
        <v>45.97</v>
      </c>
      <c r="E60" s="19">
        <v>2</v>
      </c>
      <c r="F60" s="20">
        <v>2587.8000000000002</v>
      </c>
      <c r="H60" s="23">
        <f t="shared" si="0"/>
        <v>6.4610389610388896E-3</v>
      </c>
      <c r="I60" s="23">
        <f t="shared" si="1"/>
        <v>4.9230769230770299E-3</v>
      </c>
      <c r="J60" s="23">
        <f t="shared" si="2"/>
        <v>-2.1706099413935087E-3</v>
      </c>
      <c r="K60" s="23">
        <f>E59/100/Inputs!$B$17-'Valuation and Bond'!$B$44*(E60-E59)/100+0.5*'Valuation and Bond'!$B$45*((E60-E59)/100)^2</f>
        <v>2.144583612305104E-3</v>
      </c>
      <c r="L60" s="23">
        <f t="shared" si="3"/>
        <v>2.5957924915733788E-3</v>
      </c>
      <c r="M60" s="23">
        <f t="shared" si="4"/>
        <v>2.1770389141937845E-3</v>
      </c>
      <c r="N60" s="23">
        <f>SUMPRODUCT(H60:K60,Portfolio!$B$23:$E$23)</f>
        <v>2.8395223887568788E-3</v>
      </c>
      <c r="O60" s="23">
        <f>SUMPRODUCT(H60:K60,Portfolio!$B$24:$E$24)</f>
        <v>1.6072911644653717E-3</v>
      </c>
      <c r="Q60" s="21">
        <f t="shared" si="6"/>
        <v>119.97803341184775</v>
      </c>
      <c r="R60" s="21">
        <f t="shared" si="5"/>
        <v>120.85746310480097</v>
      </c>
      <c r="S60" s="22">
        <f>Q60/MAX(Q$6:Q60)-1</f>
        <v>0</v>
      </c>
      <c r="T60" s="22">
        <f>R60/MAX(R$6:R60)-1</f>
        <v>0</v>
      </c>
    </row>
    <row r="61" spans="1:20" x14ac:dyDescent="0.2">
      <c r="A61" s="18">
        <v>43049</v>
      </c>
      <c r="B61" s="19">
        <v>311.17</v>
      </c>
      <c r="C61" s="19">
        <v>96.94</v>
      </c>
      <c r="D61" s="19">
        <v>46.54</v>
      </c>
      <c r="E61" s="19">
        <v>2.0099999999999998</v>
      </c>
      <c r="F61" s="20">
        <v>2582.3000000000002</v>
      </c>
      <c r="H61" s="23">
        <f t="shared" si="0"/>
        <v>3.8065744056259287E-3</v>
      </c>
      <c r="I61" s="23">
        <f t="shared" si="1"/>
        <v>-1.0614411104307053E-2</v>
      </c>
      <c r="J61" s="23">
        <f t="shared" si="2"/>
        <v>1.2399390907113395E-2</v>
      </c>
      <c r="K61" s="23">
        <f>E60/100/Inputs!$B$17-'Valuation and Bond'!$B$44*(E61-E60)/100+0.5*'Valuation and Bond'!$B$45*((E61-E60)/100)^2</f>
        <v>-5.2888276727389036E-5</v>
      </c>
      <c r="L61" s="23">
        <f t="shared" si="3"/>
        <v>-2.1253574464796809E-3</v>
      </c>
      <c r="M61" s="23">
        <f t="shared" si="4"/>
        <v>1.1758322201294007E-3</v>
      </c>
      <c r="N61" s="23">
        <f>SUMPRODUCT(H61:K61,Portfolio!$B$23:$E$23)</f>
        <v>1.3846664829262202E-3</v>
      </c>
      <c r="O61" s="23">
        <f>SUMPRODUCT(H61:K61,Portfolio!$B$24:$E$24)</f>
        <v>3.2638378002232795E-3</v>
      </c>
      <c r="Q61" s="21">
        <f t="shared" si="6"/>
        <v>120.11910744924116</v>
      </c>
      <c r="R61" s="21">
        <f t="shared" si="5"/>
        <v>120.60059779562854</v>
      </c>
      <c r="S61" s="22">
        <f>Q61/MAX(Q$6:Q61)-1</f>
        <v>0</v>
      </c>
      <c r="T61" s="22">
        <f>R61/MAX(R$6:R61)-1</f>
        <v>-2.1253574464796809E-3</v>
      </c>
    </row>
    <row r="62" spans="1:20" x14ac:dyDescent="0.2">
      <c r="A62" s="18">
        <v>43056</v>
      </c>
      <c r="B62" s="19">
        <v>309.7</v>
      </c>
      <c r="C62" s="19">
        <v>97.74</v>
      </c>
      <c r="D62" s="19">
        <v>45.71</v>
      </c>
      <c r="E62" s="19">
        <v>2.06</v>
      </c>
      <c r="F62" s="20">
        <v>2578.8000000000002</v>
      </c>
      <c r="H62" s="23">
        <f t="shared" si="0"/>
        <v>-4.7241057942604137E-3</v>
      </c>
      <c r="I62" s="23">
        <f t="shared" si="1"/>
        <v>8.2525273364968399E-3</v>
      </c>
      <c r="J62" s="23">
        <f t="shared" si="2"/>
        <v>-1.7834121186076413E-2</v>
      </c>
      <c r="K62" s="23">
        <f>E61/100/Inputs!$B$17-'Valuation and Bond'!$B$44*(E62-E61)/100+0.5*'Valuation and Bond'!$B$45*((E62-E61)/100)^2</f>
        <v>-1.7987185705491866E-3</v>
      </c>
      <c r="L62" s="23">
        <f t="shared" si="3"/>
        <v>-1.3553808620222485E-3</v>
      </c>
      <c r="M62" s="23">
        <f t="shared" si="4"/>
        <v>-4.2813696111061745E-3</v>
      </c>
      <c r="N62" s="23">
        <f>SUMPRODUCT(H62:K62,Portfolio!$B$23:$E$23)</f>
        <v>-4.026104553597293E-3</v>
      </c>
      <c r="O62" s="23">
        <f>SUMPRODUCT(H62:K62,Portfolio!$B$24:$E$24)</f>
        <v>-6.2762068914717414E-3</v>
      </c>
      <c r="Q62" s="21">
        <f t="shared" si="6"/>
        <v>119.60483315289478</v>
      </c>
      <c r="R62" s="21">
        <f t="shared" si="5"/>
        <v>120.4371380534279</v>
      </c>
      <c r="S62" s="22">
        <f>Q62/MAX(Q$6:Q62)-1</f>
        <v>-4.281369611106145E-3</v>
      </c>
      <c r="T62" s="22">
        <f>R62/MAX(R$6:R62)-1</f>
        <v>-3.4778576396939931E-3</v>
      </c>
    </row>
    <row r="63" spans="1:20" x14ac:dyDescent="0.2">
      <c r="A63" s="18">
        <v>43063</v>
      </c>
      <c r="B63" s="19">
        <v>315.82</v>
      </c>
      <c r="C63" s="19">
        <v>99.3</v>
      </c>
      <c r="D63" s="19">
        <v>45.88</v>
      </c>
      <c r="E63" s="19">
        <v>2.08</v>
      </c>
      <c r="F63" s="20">
        <v>2602.4</v>
      </c>
      <c r="H63" s="23">
        <f t="shared" si="0"/>
        <v>1.9761059089441479E-2</v>
      </c>
      <c r="I63" s="23">
        <f t="shared" si="1"/>
        <v>1.5960712093308738E-2</v>
      </c>
      <c r="J63" s="23">
        <f t="shared" si="2"/>
        <v>3.7190986655000202E-3</v>
      </c>
      <c r="K63" s="23">
        <f>E62/100/Inputs!$B$17-'Valuation and Bond'!$B$44*(E63-E62)/100+0.5*'Valuation and Bond'!$B$45*((E63-E62)/100)^2</f>
        <v>-4.7862734906909272E-4</v>
      </c>
      <c r="L63" s="23">
        <f t="shared" si="3"/>
        <v>9.1515433534976598E-3</v>
      </c>
      <c r="M63" s="23">
        <f t="shared" si="4"/>
        <v>9.0448456499353201E-3</v>
      </c>
      <c r="N63" s="23">
        <f>SUMPRODUCT(H63:K63,Portfolio!$B$23:$E$23)</f>
        <v>9.7405606247952855E-3</v>
      </c>
      <c r="O63" s="23">
        <f>SUMPRODUCT(H63:K63,Portfolio!$B$24:$E$24)</f>
        <v>5.7286065761603024E-3</v>
      </c>
      <c r="Q63" s="21">
        <f t="shared" si="6"/>
        <v>120.68664040774897</v>
      </c>
      <c r="R63" s="21">
        <f t="shared" si="5"/>
        <v>121.53932374369504</v>
      </c>
      <c r="S63" s="22">
        <f>Q63/MAX(Q$6:Q63)-1</f>
        <v>0</v>
      </c>
      <c r="T63" s="22">
        <f>R63/MAX(R$6:R63)-1</f>
        <v>0</v>
      </c>
    </row>
    <row r="64" spans="1:20" x14ac:dyDescent="0.2">
      <c r="A64" s="18">
        <v>43070</v>
      </c>
      <c r="B64" s="19">
        <v>313.57</v>
      </c>
      <c r="C64" s="19">
        <v>97.18</v>
      </c>
      <c r="D64" s="19">
        <v>45.97</v>
      </c>
      <c r="E64" s="19">
        <v>2.1</v>
      </c>
      <c r="F64" s="20">
        <v>2642.2</v>
      </c>
      <c r="H64" s="23">
        <f t="shared" si="0"/>
        <v>-7.1243113165727623E-3</v>
      </c>
      <c r="I64" s="23">
        <f t="shared" si="1"/>
        <v>-2.1349446122859939E-2</v>
      </c>
      <c r="J64" s="23">
        <f t="shared" si="2"/>
        <v>1.9616390584131782E-3</v>
      </c>
      <c r="K64" s="23">
        <f>E63/100/Inputs!$B$17-'Valuation and Bond'!$B$44*(E64-E63)/100+0.5*'Valuation and Bond'!$B$45*((E64-E63)/100)^2</f>
        <v>-4.7478119522293891E-4</v>
      </c>
      <c r="L64" s="23">
        <f t="shared" si="3"/>
        <v>1.5293575161389406E-2</v>
      </c>
      <c r="M64" s="23">
        <f t="shared" si="4"/>
        <v>-7.4221915268198116E-3</v>
      </c>
      <c r="N64" s="23">
        <f>SUMPRODUCT(H64:K64,Portfolio!$B$23:$E$23)</f>
        <v>-6.7467248940606154E-3</v>
      </c>
      <c r="O64" s="23">
        <f>SUMPRODUCT(H64:K64,Portfolio!$B$24:$E$24)</f>
        <v>-3.2704957243775167E-3</v>
      </c>
      <c r="Q64" s="21">
        <f t="shared" si="6"/>
        <v>119.79088104791423</v>
      </c>
      <c r="R64" s="21">
        <f t="shared" si="5"/>
        <v>123.39809452643368</v>
      </c>
      <c r="S64" s="22">
        <f>Q64/MAX(Q$6:Q64)-1</f>
        <v>-7.4221915268197769E-3</v>
      </c>
      <c r="T64" s="22">
        <f>R64/MAX(R$6:R64)-1</f>
        <v>0</v>
      </c>
    </row>
    <row r="65" spans="1:20" x14ac:dyDescent="0.2">
      <c r="A65" s="18">
        <v>43077</v>
      </c>
      <c r="B65" s="19">
        <v>315.85000000000002</v>
      </c>
      <c r="C65" s="19">
        <v>98.02</v>
      </c>
      <c r="D65" s="19">
        <v>45.31</v>
      </c>
      <c r="E65" s="19">
        <v>2.14</v>
      </c>
      <c r="F65" s="20">
        <v>2651.5</v>
      </c>
      <c r="H65" s="23">
        <f t="shared" si="0"/>
        <v>7.2711037407915402E-3</v>
      </c>
      <c r="I65" s="23">
        <f t="shared" si="1"/>
        <v>8.6437538588186591E-3</v>
      </c>
      <c r="J65" s="23">
        <f t="shared" si="2"/>
        <v>-1.4357189471394305E-2</v>
      </c>
      <c r="K65" s="23">
        <f>E64/100/Inputs!$B$17-'Valuation and Bond'!$B$44*(E65-E64)/100+0.5*'Valuation and Bond'!$B$45*((E65-E64)/100)^2</f>
        <v>-1.3448117267492125E-3</v>
      </c>
      <c r="L65" s="23">
        <f t="shared" si="3"/>
        <v>3.5197941109681441E-3</v>
      </c>
      <c r="M65" s="23">
        <f t="shared" si="4"/>
        <v>-1.2986537728803839E-3</v>
      </c>
      <c r="N65" s="23">
        <f>SUMPRODUCT(H65:K65,Portfolio!$B$23:$E$23)</f>
        <v>5.3214100366670482E-5</v>
      </c>
      <c r="O65" s="23">
        <f>SUMPRODUCT(H65:K65,Portfolio!$B$24:$E$24)</f>
        <v>-3.3190264815653159E-3</v>
      </c>
      <c r="Q65" s="21">
        <f t="shared" si="6"/>
        <v>119.63531416828468</v>
      </c>
      <c r="R65" s="21">
        <f t="shared" si="5"/>
        <v>123.83243041285252</v>
      </c>
      <c r="S65" s="22">
        <f>Q65/MAX(Q$6:Q65)-1</f>
        <v>-8.7112064426708713E-3</v>
      </c>
      <c r="T65" s="22">
        <f>R65/MAX(R$6:R65)-1</f>
        <v>0</v>
      </c>
    </row>
    <row r="66" spans="1:20" x14ac:dyDescent="0.2">
      <c r="A66" s="18">
        <v>43084</v>
      </c>
      <c r="B66" s="19">
        <v>322.82</v>
      </c>
      <c r="C66" s="19">
        <v>101.22</v>
      </c>
      <c r="D66" s="19">
        <v>46.19</v>
      </c>
      <c r="E66" s="19">
        <v>2.15</v>
      </c>
      <c r="F66" s="20">
        <v>2675.8</v>
      </c>
      <c r="H66" s="23">
        <f t="shared" si="0"/>
        <v>2.2067437074560603E-2</v>
      </c>
      <c r="I66" s="23">
        <f t="shared" si="1"/>
        <v>3.2646398694144096E-2</v>
      </c>
      <c r="J66" s="23">
        <f t="shared" si="2"/>
        <v>1.9421761200617782E-2</v>
      </c>
      <c r="K66" s="23">
        <f>E65/100/Inputs!$B$17-'Valuation and Bond'!$B$44*(E66-E65)/100+0.5*'Valuation and Bond'!$B$45*((E66-E65)/100)^2</f>
        <v>-2.5965199804312092E-5</v>
      </c>
      <c r="L66" s="23">
        <f t="shared" si="3"/>
        <v>9.1646237978504352E-3</v>
      </c>
      <c r="M66" s="23">
        <f t="shared" si="4"/>
        <v>2.0246898346694474E-2</v>
      </c>
      <c r="N66" s="23">
        <f>SUMPRODUCT(H66:K66,Portfolio!$B$23:$E$23)</f>
        <v>1.8527407942379542E-2</v>
      </c>
      <c r="O66" s="23">
        <f>SUMPRODUCT(H66:K66,Portfolio!$B$24:$E$24)</f>
        <v>1.3734640264743058E-2</v>
      </c>
      <c r="Q66" s="21">
        <f t="shared" si="6"/>
        <v>122.0575582129248</v>
      </c>
      <c r="R66" s="21">
        <f t="shared" si="5"/>
        <v>124.9673080515598</v>
      </c>
      <c r="S66" s="22">
        <f>Q66/MAX(Q$6:Q66)-1</f>
        <v>0</v>
      </c>
      <c r="T66" s="22">
        <f>R66/MAX(R$6:R66)-1</f>
        <v>0</v>
      </c>
    </row>
    <row r="67" spans="1:20" x14ac:dyDescent="0.2">
      <c r="A67" s="18">
        <v>43091</v>
      </c>
      <c r="B67" s="19">
        <v>318.02999999999997</v>
      </c>
      <c r="C67" s="19">
        <v>104.13</v>
      </c>
      <c r="D67" s="19">
        <v>45.59</v>
      </c>
      <c r="E67" s="19">
        <v>2.23</v>
      </c>
      <c r="F67" s="20">
        <v>2683.3</v>
      </c>
      <c r="H67" s="23">
        <f t="shared" si="0"/>
        <v>-1.4837990211263308E-2</v>
      </c>
      <c r="I67" s="23">
        <f t="shared" si="1"/>
        <v>2.8749259039715369E-2</v>
      </c>
      <c r="J67" s="23">
        <f t="shared" si="2"/>
        <v>-1.2989824637367309E-2</v>
      </c>
      <c r="K67" s="23">
        <f>E66/100/Inputs!$B$17-'Valuation and Bond'!$B$44*(E67-E66)/100+0.5*'Valuation and Bond'!$B$45*((E67-E66)/100)^2</f>
        <v>-3.0802361833271487E-3</v>
      </c>
      <c r="L67" s="23">
        <f t="shared" si="3"/>
        <v>2.8029000672695759E-3</v>
      </c>
      <c r="M67" s="23">
        <f t="shared" si="4"/>
        <v>2.5211087283367865E-3</v>
      </c>
      <c r="N67" s="23">
        <f>SUMPRODUCT(H67:K67,Portfolio!$B$23:$E$23)</f>
        <v>-5.3969799806059902E-4</v>
      </c>
      <c r="O67" s="23">
        <f>SUMPRODUCT(H67:K67,Portfolio!$B$24:$E$24)</f>
        <v>-3.7379631193806924E-3</v>
      </c>
      <c r="Q67" s="21">
        <f t="shared" si="6"/>
        <v>122.36527858829488</v>
      </c>
      <c r="R67" s="21">
        <f t="shared" si="5"/>
        <v>125.31757892770401</v>
      </c>
      <c r="S67" s="22">
        <f>Q67/MAX(Q$6:Q67)-1</f>
        <v>0</v>
      </c>
      <c r="T67" s="22">
        <f>R67/MAX(R$6:R67)-1</f>
        <v>0</v>
      </c>
    </row>
    <row r="68" spans="1:20" x14ac:dyDescent="0.2">
      <c r="A68" s="18">
        <v>43098</v>
      </c>
      <c r="B68" s="19">
        <v>321.05</v>
      </c>
      <c r="C68" s="19">
        <v>104.44</v>
      </c>
      <c r="D68" s="19">
        <v>45.88</v>
      </c>
      <c r="E68" s="19">
        <v>2.23</v>
      </c>
      <c r="F68" s="20">
        <v>2673.6</v>
      </c>
      <c r="H68" s="23">
        <f t="shared" si="0"/>
        <v>9.4959595006760544E-3</v>
      </c>
      <c r="I68" s="23">
        <f t="shared" si="1"/>
        <v>2.9770479208681699E-3</v>
      </c>
      <c r="J68" s="23">
        <f t="shared" si="2"/>
        <v>6.3610440886159303E-3</v>
      </c>
      <c r="K68" s="23">
        <f>E67/100/Inputs!$B$17-'Valuation and Bond'!$B$44*(E68-E67)/100+0.5*'Valuation and Bond'!$B$45*((E68-E67)/100)^2</f>
        <v>4.2884615384615384E-4</v>
      </c>
      <c r="L68" s="23">
        <f t="shared" si="3"/>
        <v>-3.6149517385309915E-3</v>
      </c>
      <c r="M68" s="23">
        <f t="shared" si="4"/>
        <v>4.4732620584031811E-3</v>
      </c>
      <c r="N68" s="23">
        <f>SUMPRODUCT(H68:K68,Portfolio!$B$23:$E$23)</f>
        <v>4.8157244160015773E-3</v>
      </c>
      <c r="O68" s="23">
        <f>SUMPRODUCT(H68:K68,Portfolio!$B$24:$E$24)</f>
        <v>3.9442144187127664E-3</v>
      </c>
      <c r="Q68" s="21">
        <f t="shared" si="6"/>
        <v>122.91265054626983</v>
      </c>
      <c r="R68" s="21">
        <f t="shared" si="5"/>
        <v>124.8645619278908</v>
      </c>
      <c r="S68" s="22">
        <f>Q68/MAX(Q$6:Q68)-1</f>
        <v>0</v>
      </c>
      <c r="T68" s="22">
        <f>R68/MAX(R$6:R68)-1</f>
        <v>-3.6149517385309915E-3</v>
      </c>
    </row>
    <row r="69" spans="1:20" x14ac:dyDescent="0.2">
      <c r="A69" s="18">
        <v>43105</v>
      </c>
      <c r="B69" s="19">
        <v>329.68</v>
      </c>
      <c r="C69" s="19">
        <v>109.12</v>
      </c>
      <c r="D69" s="19">
        <v>46.07</v>
      </c>
      <c r="E69" s="19">
        <v>2.27</v>
      </c>
      <c r="F69" s="20">
        <v>2743.2</v>
      </c>
      <c r="H69" s="23">
        <f t="shared" si="0"/>
        <v>2.688054820121466E-2</v>
      </c>
      <c r="I69" s="23">
        <f t="shared" si="1"/>
        <v>4.4810417464572927E-2</v>
      </c>
      <c r="J69" s="23">
        <f t="shared" si="2"/>
        <v>4.1412380122056724E-3</v>
      </c>
      <c r="K69" s="23">
        <f>E68/100/Inputs!$B$17-'Valuation and Bond'!$B$44*(E69-E68)/100+0.5*'Valuation and Bond'!$B$45*((E69-E68)/100)^2</f>
        <v>-1.3198117267492126E-3</v>
      </c>
      <c r="L69" s="23">
        <f t="shared" si="3"/>
        <v>2.60323159784559E-2</v>
      </c>
      <c r="M69" s="23">
        <f t="shared" si="4"/>
        <v>1.9482815883739582E-2</v>
      </c>
      <c r="N69" s="23">
        <f>SUMPRODUCT(H69:K69,Portfolio!$B$23:$E$23)</f>
        <v>1.8628097987811013E-2</v>
      </c>
      <c r="O69" s="23">
        <f>SUMPRODUCT(H69:K69,Portfolio!$B$24:$E$24)</f>
        <v>1.0272514559480399E-2</v>
      </c>
      <c r="Q69" s="21">
        <f t="shared" si="6"/>
        <v>125.30733508664524</v>
      </c>
      <c r="R69" s="21">
        <f t="shared" si="5"/>
        <v>128.11507565850914</v>
      </c>
      <c r="S69" s="22">
        <f>Q69/MAX(Q$6:Q69)-1</f>
        <v>0</v>
      </c>
      <c r="T69" s="22">
        <f>R69/MAX(R$6:R69)-1</f>
        <v>0</v>
      </c>
    </row>
    <row r="70" spans="1:20" x14ac:dyDescent="0.2">
      <c r="A70" s="18">
        <v>43112</v>
      </c>
      <c r="B70" s="19">
        <v>336.25</v>
      </c>
      <c r="C70" s="19">
        <v>112.72</v>
      </c>
      <c r="D70" s="19">
        <v>46.15</v>
      </c>
      <c r="E70" s="19">
        <v>2.3199999999999998</v>
      </c>
      <c r="F70" s="20">
        <v>2786.2</v>
      </c>
      <c r="H70" s="23">
        <f t="shared" si="0"/>
        <v>1.9928415433147384E-2</v>
      </c>
      <c r="I70" s="23">
        <f t="shared" si="1"/>
        <v>3.2991202346041026E-2</v>
      </c>
      <c r="J70" s="23">
        <f t="shared" si="2"/>
        <v>1.7364879531147626E-3</v>
      </c>
      <c r="K70" s="23">
        <f>E69/100/Inputs!$B$17-'Valuation and Bond'!$B$44*(E70-E69)/100+0.5*'Valuation and Bond'!$B$45*((E70-E69)/100)^2</f>
        <v>-1.7487185705491672E-3</v>
      </c>
      <c r="L70" s="23">
        <f t="shared" si="3"/>
        <v>1.5675123942840541E-2</v>
      </c>
      <c r="M70" s="23">
        <f t="shared" si="4"/>
        <v>1.3763932789151967E-2</v>
      </c>
      <c r="N70" s="23">
        <f>SUMPRODUCT(H70:K70,Portfolio!$B$23:$E$23)</f>
        <v>1.3226846790438502E-2</v>
      </c>
      <c r="O70" s="23">
        <f>SUMPRODUCT(H70:K70,Portfolio!$B$24:$E$24)</f>
        <v>6.8254689814488314E-3</v>
      </c>
      <c r="Q70" s="21">
        <f t="shared" si="6"/>
        <v>127.03205682476556</v>
      </c>
      <c r="R70" s="21">
        <f t="shared" si="5"/>
        <v>130.12329534840268</v>
      </c>
      <c r="S70" s="22">
        <f>Q70/MAX(Q$6:Q70)-1</f>
        <v>0</v>
      </c>
      <c r="T70" s="22">
        <f>R70/MAX(R$6:R70)-1</f>
        <v>0</v>
      </c>
    </row>
    <row r="71" spans="1:20" x14ac:dyDescent="0.2">
      <c r="A71" s="18">
        <v>43119</v>
      </c>
      <c r="B71" s="19">
        <v>332</v>
      </c>
      <c r="C71" s="19">
        <v>116.83</v>
      </c>
      <c r="D71" s="19">
        <v>47.16</v>
      </c>
      <c r="E71" s="19">
        <v>2.41</v>
      </c>
      <c r="F71" s="20">
        <v>2810.3</v>
      </c>
      <c r="H71" s="23">
        <f t="shared" ref="H71:H134" si="7">B71/B70-1</f>
        <v>-1.2639405204460941E-2</v>
      </c>
      <c r="I71" s="23">
        <f t="shared" ref="I71:I134" si="8">C71/C70-1</f>
        <v>3.6462029808374652E-2</v>
      </c>
      <c r="J71" s="23">
        <f t="shared" ref="J71:J134" si="9">D71/D70-1</f>
        <v>2.188515709642469E-2</v>
      </c>
      <c r="K71" s="23">
        <f>E70/100/Inputs!$B$17-'Valuation and Bond'!$B$44*(E71-E70)/100+0.5*'Valuation and Bond'!$B$45*((E71-E70)/100)^2</f>
        <v>-3.4832385172766109E-3</v>
      </c>
      <c r="L71" s="23">
        <f t="shared" ref="L71:L134" si="10">F71/F70-1</f>
        <v>8.6497738855790818E-3</v>
      </c>
      <c r="M71" s="23">
        <f t="shared" ref="M71:M134" si="11">SUMPRODUCT(H71:K71,$H$4:$K$4)</f>
        <v>1.7047341463760572E-2</v>
      </c>
      <c r="N71" s="23">
        <f>SUMPRODUCT(H71:K71,Portfolio!$B$23:$E$23)</f>
        <v>1.0556135795765448E-2</v>
      </c>
      <c r="O71" s="23">
        <f>SUMPRODUCT(H71:K71,Portfolio!$B$24:$E$24)</f>
        <v>9.2175607174221855E-3</v>
      </c>
      <c r="Q71" s="21">
        <f t="shared" ref="Q71:Q134" si="12">Q70*(1+M71)</f>
        <v>129.19761567430118</v>
      </c>
      <c r="R71" s="21">
        <f t="shared" ref="R71:R134" si="13">R70*(1+L71)</f>
        <v>131.24883243041279</v>
      </c>
      <c r="S71" s="22">
        <f>Q71/MAX(Q$6:Q71)-1</f>
        <v>0</v>
      </c>
      <c r="T71" s="22">
        <f>R71/MAX(R$6:R71)-1</f>
        <v>0</v>
      </c>
    </row>
    <row r="72" spans="1:20" x14ac:dyDescent="0.2">
      <c r="A72" s="18">
        <v>43126</v>
      </c>
      <c r="B72" s="19">
        <v>344.9</v>
      </c>
      <c r="C72" s="19">
        <v>113.69</v>
      </c>
      <c r="D72" s="19">
        <v>48.53</v>
      </c>
      <c r="E72" s="19">
        <v>2.44</v>
      </c>
      <c r="F72" s="20">
        <v>2872.9</v>
      </c>
      <c r="H72" s="23">
        <f t="shared" si="7"/>
        <v>3.8855421686746938E-2</v>
      </c>
      <c r="I72" s="23">
        <f t="shared" si="8"/>
        <v>-2.6876658392536168E-2</v>
      </c>
      <c r="J72" s="23">
        <f t="shared" si="9"/>
        <v>2.9050042408821142E-2</v>
      </c>
      <c r="K72" s="23">
        <f>E71/100/Inputs!$B$17-'Valuation and Bond'!$B$44*(E72-E71)/100+0.5*'Valuation and Bond'!$B$45*((E72-E71)/100)^2</f>
        <v>-8.4837106317891837E-4</v>
      </c>
      <c r="L72" s="23">
        <f t="shared" si="10"/>
        <v>2.22752019357364E-2</v>
      </c>
      <c r="M72" s="23">
        <f t="shared" si="11"/>
        <v>5.9137612042983855E-3</v>
      </c>
      <c r="N72" s="23">
        <f>SUMPRODUCT(H72:K72,Portfolio!$B$23:$E$23)</f>
        <v>1.0045108659963248E-2</v>
      </c>
      <c r="O72" s="23">
        <f>SUMPRODUCT(H72:K72,Portfolio!$B$24:$E$24)</f>
        <v>1.0949895222846045E-2</v>
      </c>
      <c r="Q72" s="21">
        <f t="shared" si="12"/>
        <v>129.96165952156369</v>
      </c>
      <c r="R72" s="21">
        <f t="shared" si="13"/>
        <v>134.17242667662987</v>
      </c>
      <c r="S72" s="22">
        <f>Q72/MAX(Q$6:Q72)-1</f>
        <v>0</v>
      </c>
      <c r="T72" s="22">
        <f>R72/MAX(R$6:R72)-1</f>
        <v>0</v>
      </c>
    </row>
    <row r="73" spans="1:20" x14ac:dyDescent="0.2">
      <c r="A73" s="18">
        <v>43133</v>
      </c>
      <c r="B73" s="19">
        <v>352.66</v>
      </c>
      <c r="C73" s="19">
        <v>107.66</v>
      </c>
      <c r="D73" s="19">
        <v>46.73</v>
      </c>
      <c r="E73" s="19">
        <v>2.5299999999999998</v>
      </c>
      <c r="F73" s="20">
        <v>2762.1</v>
      </c>
      <c r="H73" s="23">
        <f t="shared" si="7"/>
        <v>2.2499275152218168E-2</v>
      </c>
      <c r="I73" s="23">
        <f t="shared" si="8"/>
        <v>-5.3038965608232957E-2</v>
      </c>
      <c r="J73" s="23">
        <f t="shared" si="9"/>
        <v>-3.7090459509581786E-2</v>
      </c>
      <c r="K73" s="23">
        <f>E72/100/Inputs!$B$17-'Valuation and Bond'!$B$44*(E73-E72)/100+0.5*'Valuation and Bond'!$B$45*((E73-E72)/100)^2</f>
        <v>-3.4601615941996689E-3</v>
      </c>
      <c r="L73" s="23">
        <f t="shared" si="10"/>
        <v>-3.8567301333147785E-2</v>
      </c>
      <c r="M73" s="23">
        <f t="shared" si="11"/>
        <v>-2.7731767096371752E-2</v>
      </c>
      <c r="N73" s="23">
        <f>SUMPRODUCT(H73:K73,Portfolio!$B$23:$E$23)</f>
        <v>-1.777257788994906E-2</v>
      </c>
      <c r="O73" s="23">
        <f>SUMPRODUCT(H73:K73,Portfolio!$B$24:$E$24)</f>
        <v>-1.8068805752984338E-2</v>
      </c>
      <c r="Q73" s="21">
        <f t="shared" si="12"/>
        <v>126.35759304825373</v>
      </c>
      <c r="R73" s="21">
        <f t="shared" si="13"/>
        <v>128.99775826639259</v>
      </c>
      <c r="S73" s="22">
        <f>Q73/MAX(Q$6:Q73)-1</f>
        <v>-2.7731767096371707E-2</v>
      </c>
      <c r="T73" s="22">
        <f>R73/MAX(R$6:R73)-1</f>
        <v>-3.8567301333147896E-2</v>
      </c>
    </row>
    <row r="74" spans="1:20" x14ac:dyDescent="0.2">
      <c r="A74" s="18">
        <v>43140</v>
      </c>
      <c r="B74" s="19">
        <v>341.42</v>
      </c>
      <c r="C74" s="19">
        <v>100.49</v>
      </c>
      <c r="D74" s="19">
        <v>43.13</v>
      </c>
      <c r="E74" s="19">
        <v>2.54</v>
      </c>
      <c r="F74" s="20">
        <v>2619.6</v>
      </c>
      <c r="H74" s="23">
        <f t="shared" si="7"/>
        <v>-3.1872058072931475E-2</v>
      </c>
      <c r="I74" s="23">
        <f t="shared" si="8"/>
        <v>-6.6598550993869576E-2</v>
      </c>
      <c r="J74" s="23">
        <f t="shared" si="9"/>
        <v>-7.703830515728638E-2</v>
      </c>
      <c r="K74" s="23">
        <f>E73/100/Inputs!$B$17-'Valuation and Bond'!$B$44*(E74-E73)/100+0.5*'Valuation and Bond'!$B$45*((E74-E73)/100)^2</f>
        <v>4.9034800195668494E-5</v>
      </c>
      <c r="L74" s="23">
        <f t="shared" si="10"/>
        <v>-5.1591180623438704E-2</v>
      </c>
      <c r="M74" s="23">
        <f t="shared" si="11"/>
        <v>-5.2191190553185406E-2</v>
      </c>
      <c r="N74" s="23">
        <f>SUMPRODUCT(H74:K74,Portfolio!$B$23:$E$23)</f>
        <v>-4.3864969855972942E-2</v>
      </c>
      <c r="O74" s="23">
        <f>SUMPRODUCT(H74:K74,Portfolio!$B$24:$E$24)</f>
        <v>-3.8999216473883824E-2</v>
      </c>
      <c r="Q74" s="21">
        <f t="shared" si="12"/>
        <v>119.76283983163046</v>
      </c>
      <c r="R74" s="21">
        <f t="shared" si="13"/>
        <v>122.34261161965244</v>
      </c>
      <c r="S74" s="22">
        <f>Q74/MAX(Q$6:Q74)-1</f>
        <v>-7.8475603708653807E-2</v>
      </c>
      <c r="T74" s="22">
        <f>R74/MAX(R$6:R74)-1</f>
        <v>-8.816874934734964E-2</v>
      </c>
    </row>
    <row r="75" spans="1:20" x14ac:dyDescent="0.2">
      <c r="A75" s="18">
        <v>43147</v>
      </c>
      <c r="B75" s="19">
        <v>360.53</v>
      </c>
      <c r="C75" s="19">
        <v>104.47</v>
      </c>
      <c r="D75" s="19">
        <v>44.98</v>
      </c>
      <c r="E75" s="19">
        <v>2.61</v>
      </c>
      <c r="F75" s="20">
        <v>2732.2</v>
      </c>
      <c r="H75" s="23">
        <f t="shared" si="7"/>
        <v>5.5972116454806375E-2</v>
      </c>
      <c r="I75" s="23">
        <f t="shared" si="8"/>
        <v>3.9605930938401812E-2</v>
      </c>
      <c r="J75" s="23">
        <f t="shared" si="9"/>
        <v>4.2893577556225138E-2</v>
      </c>
      <c r="K75" s="23">
        <f>E74/100/Inputs!$B$17-'Valuation and Bond'!$B$44*(E75-E74)/100+0.5*'Valuation and Bond'!$B$45*((E75-E74)/100)^2</f>
        <v>-2.5693154142227507E-3</v>
      </c>
      <c r="L75" s="23">
        <f t="shared" si="10"/>
        <v>4.2983661627729486E-2</v>
      </c>
      <c r="M75" s="23">
        <f t="shared" si="11"/>
        <v>3.4448981982315878E-2</v>
      </c>
      <c r="N75" s="23">
        <f>SUMPRODUCT(H75:K75,Portfolio!$B$23:$E$23)</f>
        <v>3.3975577383802642E-2</v>
      </c>
      <c r="O75" s="23">
        <f>SUMPRODUCT(H75:K75,Portfolio!$B$24:$E$24)</f>
        <v>2.5958959619873295E-2</v>
      </c>
      <c r="Q75" s="21">
        <f t="shared" si="12"/>
        <v>123.88854774314129</v>
      </c>
      <c r="R75" s="21">
        <f t="shared" si="13"/>
        <v>127.6013450401643</v>
      </c>
      <c r="S75" s="22">
        <f>Q75/MAX(Q$6:Q75)-1</f>
        <v>-4.6730026384548706E-2</v>
      </c>
      <c r="T75" s="22">
        <f>R75/MAX(R$6:R75)-1</f>
        <v>-4.8974903407706716E-2</v>
      </c>
    </row>
    <row r="76" spans="1:20" x14ac:dyDescent="0.2">
      <c r="A76" s="18">
        <v>43154</v>
      </c>
      <c r="B76" s="19">
        <v>358.69</v>
      </c>
      <c r="C76" s="19">
        <v>107.04</v>
      </c>
      <c r="D76" s="19">
        <v>44.04</v>
      </c>
      <c r="E76" s="19">
        <v>2.66</v>
      </c>
      <c r="F76" s="20">
        <v>2747.3</v>
      </c>
      <c r="H76" s="23">
        <f t="shared" si="7"/>
        <v>-5.1035974814854779E-3</v>
      </c>
      <c r="I76" s="23">
        <f t="shared" si="8"/>
        <v>2.4600363740787001E-2</v>
      </c>
      <c r="J76" s="23">
        <f t="shared" si="9"/>
        <v>-2.0898176967541038E-2</v>
      </c>
      <c r="K76" s="23">
        <f>E75/100/Inputs!$B$17-'Valuation and Bond'!$B$44*(E76-E75)/100+0.5*'Valuation and Bond'!$B$45*((E76-E75)/100)^2</f>
        <v>-1.6833339551645713E-3</v>
      </c>
      <c r="L76" s="23">
        <f t="shared" si="10"/>
        <v>5.5266817948906866E-3</v>
      </c>
      <c r="M76" s="23">
        <f t="shared" si="11"/>
        <v>5.2091850584869235E-5</v>
      </c>
      <c r="N76" s="23">
        <f>SUMPRODUCT(H76:K76,Portfolio!$B$23:$E$23)</f>
        <v>-7.7118616585102138E-4</v>
      </c>
      <c r="O76" s="23">
        <f>SUMPRODUCT(H76:K76,Portfolio!$B$24:$E$24)</f>
        <v>-5.152311677055257E-3</v>
      </c>
      <c r="Q76" s="21">
        <f t="shared" si="12"/>
        <v>123.8950013268595</v>
      </c>
      <c r="R76" s="21">
        <f t="shared" si="13"/>
        <v>128.30655707080135</v>
      </c>
      <c r="S76" s="22">
        <f>Q76/MAX(Q$6:Q76)-1</f>
        <v>-4.6680368787516024E-2</v>
      </c>
      <c r="T76" s="22">
        <f>R76/MAX(R$6:R76)-1</f>
        <v>-4.3718890319885961E-2</v>
      </c>
    </row>
    <row r="77" spans="1:20" x14ac:dyDescent="0.2">
      <c r="A77" s="18">
        <v>43161</v>
      </c>
      <c r="B77" s="19">
        <v>341.72</v>
      </c>
      <c r="C77" s="19">
        <v>108.22</v>
      </c>
      <c r="D77" s="19">
        <v>43.72</v>
      </c>
      <c r="E77" s="19">
        <v>2.63</v>
      </c>
      <c r="F77" s="20">
        <v>2691.2</v>
      </c>
      <c r="H77" s="23">
        <f t="shared" si="7"/>
        <v>-4.731104853773449E-2</v>
      </c>
      <c r="I77" s="23">
        <f t="shared" si="8"/>
        <v>1.1023916292974612E-2</v>
      </c>
      <c r="J77" s="23">
        <f t="shared" si="9"/>
        <v>-7.2661217075385975E-3</v>
      </c>
      <c r="K77" s="23">
        <f>E76/100/Inputs!$B$17-'Valuation and Bond'!$B$44*(E77-E76)/100+0.5*'Valuation and Bond'!$B$45*((E77-E76)/100)^2</f>
        <v>1.8254062103425885E-3</v>
      </c>
      <c r="L77" s="23">
        <f t="shared" si="10"/>
        <v>-2.0420048775161237E-2</v>
      </c>
      <c r="M77" s="23">
        <f t="shared" si="11"/>
        <v>-4.7180563887939571E-3</v>
      </c>
      <c r="N77" s="23">
        <f>SUMPRODUCT(H77:K77,Portfolio!$B$23:$E$23)</f>
        <v>-1.0431961935488973E-2</v>
      </c>
      <c r="O77" s="23">
        <f>SUMPRODUCT(H77:K77,Portfolio!$B$24:$E$24)</f>
        <v>-6.3697005775304244E-3</v>
      </c>
      <c r="Q77" s="21">
        <f t="shared" si="12"/>
        <v>123.31045772430967</v>
      </c>
      <c r="R77" s="21">
        <f t="shared" si="13"/>
        <v>125.68653091724258</v>
      </c>
      <c r="S77" s="22">
        <f>Q77/MAX(Q$6:Q77)-1</f>
        <v>-5.1178184564120821E-2</v>
      </c>
      <c r="T77" s="22">
        <f>R77/MAX(R$6:R77)-1</f>
        <v>-6.3246197222319167E-2</v>
      </c>
    </row>
    <row r="78" spans="1:20" x14ac:dyDescent="0.2">
      <c r="A78" s="18">
        <v>43168</v>
      </c>
      <c r="B78" s="19">
        <v>340.49</v>
      </c>
      <c r="C78" s="19">
        <v>111.53</v>
      </c>
      <c r="D78" s="19">
        <v>44.82</v>
      </c>
      <c r="E78" s="19">
        <v>2.65</v>
      </c>
      <c r="F78" s="20">
        <v>2786.6</v>
      </c>
      <c r="H78" s="23">
        <f t="shared" si="7"/>
        <v>-3.5994381364861106E-3</v>
      </c>
      <c r="I78" s="23">
        <f t="shared" si="8"/>
        <v>3.0585843651820488E-2</v>
      </c>
      <c r="J78" s="23">
        <f t="shared" si="9"/>
        <v>2.5160109789569951E-2</v>
      </c>
      <c r="K78" s="23">
        <f>E77/100/Inputs!$B$17-'Valuation and Bond'!$B$44*(E78-E77)/100+0.5*'Valuation and Bond'!$B$45*((E78-E77)/100)^2</f>
        <v>-3.6901196445370812E-4</v>
      </c>
      <c r="L78" s="23">
        <f t="shared" si="10"/>
        <v>3.5448870392390086E-2</v>
      </c>
      <c r="M78" s="23">
        <f t="shared" si="11"/>
        <v>1.803413751310547E-2</v>
      </c>
      <c r="N78" s="23">
        <f>SUMPRODUCT(H78:K78,Portfolio!$B$23:$E$23)</f>
        <v>1.2944375835112655E-2</v>
      </c>
      <c r="O78" s="23">
        <f>SUMPRODUCT(H78:K78,Portfolio!$B$24:$E$24)</f>
        <v>1.1959722523653831E-2</v>
      </c>
      <c r="Q78" s="21">
        <f t="shared" si="12"/>
        <v>125.53425547571385</v>
      </c>
      <c r="R78" s="21">
        <f t="shared" si="13"/>
        <v>130.14197646179704</v>
      </c>
      <c r="S78" s="22">
        <f>Q78/MAX(Q$6:Q78)-1</f>
        <v>-3.4067001469115787E-2</v>
      </c>
      <c r="T78" s="22">
        <f>R78/MAX(R$6:R78)-1</f>
        <v>-3.0039333078074604E-2</v>
      </c>
    </row>
    <row r="79" spans="1:20" x14ac:dyDescent="0.2">
      <c r="A79" s="18">
        <v>43175</v>
      </c>
      <c r="B79" s="19">
        <v>331.4</v>
      </c>
      <c r="C79" s="19">
        <v>109.97</v>
      </c>
      <c r="D79" s="19">
        <v>43.46</v>
      </c>
      <c r="E79" s="19">
        <v>2.63</v>
      </c>
      <c r="F79" s="20">
        <v>2752</v>
      </c>
      <c r="H79" s="23">
        <f t="shared" si="7"/>
        <v>-2.6696819289847129E-2</v>
      </c>
      <c r="I79" s="23">
        <f t="shared" si="8"/>
        <v>-1.398726799964134E-2</v>
      </c>
      <c r="J79" s="23">
        <f t="shared" si="9"/>
        <v>-3.034359660865682E-2</v>
      </c>
      <c r="K79" s="23">
        <f>E78/100/Inputs!$B$17-'Valuation and Bond'!$B$44*(E79-E78)/100+0.5*'Valuation and Bond'!$B$45*((E79-E78)/100)^2</f>
        <v>1.3853010896888349E-3</v>
      </c>
      <c r="L79" s="23">
        <f t="shared" si="10"/>
        <v>-1.2416564989592982E-2</v>
      </c>
      <c r="M79" s="23">
        <f t="shared" si="11"/>
        <v>-1.8117030633270297E-2</v>
      </c>
      <c r="N79" s="23">
        <f>SUMPRODUCT(H79:K79,Portfolio!$B$23:$E$23)</f>
        <v>-1.7410595702114114E-2</v>
      </c>
      <c r="O79" s="23">
        <f>SUMPRODUCT(H79:K79,Portfolio!$B$24:$E$24)</f>
        <v>-1.5016390025090341E-2</v>
      </c>
      <c r="Q79" s="21">
        <f t="shared" si="12"/>
        <v>123.25994752373556</v>
      </c>
      <c r="R79" s="21">
        <f t="shared" si="13"/>
        <v>128.52606015318506</v>
      </c>
      <c r="S79" s="22">
        <f>Q79/MAX(Q$6:Q79)-1</f>
        <v>-5.1566839193186498E-2</v>
      </c>
      <c r="T79" s="22">
        <f>R79/MAX(R$6:R79)-1</f>
        <v>-4.2082912736259637E-2</v>
      </c>
    </row>
    <row r="80" spans="1:20" x14ac:dyDescent="0.2">
      <c r="A80" s="18">
        <v>43182</v>
      </c>
      <c r="B80" s="19">
        <v>336.31</v>
      </c>
      <c r="C80" s="19">
        <v>101.36</v>
      </c>
      <c r="D80" s="19">
        <v>42.33</v>
      </c>
      <c r="E80" s="19">
        <v>2.65</v>
      </c>
      <c r="F80" s="20">
        <v>2588.3000000000002</v>
      </c>
      <c r="H80" s="23">
        <f t="shared" si="7"/>
        <v>1.4815932407966192E-2</v>
      </c>
      <c r="I80" s="23">
        <f t="shared" si="8"/>
        <v>-7.8294080203691885E-2</v>
      </c>
      <c r="J80" s="23">
        <f t="shared" si="9"/>
        <v>-2.6000920386562432E-2</v>
      </c>
      <c r="K80" s="23">
        <f>E79/100/Inputs!$B$17-'Valuation and Bond'!$B$44*(E80-E79)/100+0.5*'Valuation and Bond'!$B$45*((E80-E79)/100)^2</f>
        <v>-3.6901196445370812E-4</v>
      </c>
      <c r="L80" s="23">
        <f t="shared" si="10"/>
        <v>-5.9484011627906952E-2</v>
      </c>
      <c r="M80" s="23">
        <f t="shared" si="11"/>
        <v>-3.2723048446518362E-2</v>
      </c>
      <c r="N80" s="23">
        <f>SUMPRODUCT(H80:K80,Portfolio!$B$23:$E$23)</f>
        <v>-2.2462020036685459E-2</v>
      </c>
      <c r="O80" s="23">
        <f>SUMPRODUCT(H80:K80,Portfolio!$B$24:$E$24)</f>
        <v>-1.7410479052292142E-2</v>
      </c>
      <c r="Q80" s="21">
        <f t="shared" si="12"/>
        <v>119.22650628940104</v>
      </c>
      <c r="R80" s="21">
        <f t="shared" si="13"/>
        <v>120.88081449654393</v>
      </c>
      <c r="S80" s="22">
        <f>Q80/MAX(Q$6:Q80)-1</f>
        <v>-8.26024634625524E-2</v>
      </c>
      <c r="T80" s="22">
        <f>R80/MAX(R$6:R80)-1</f>
        <v>-9.9063663893626752E-2</v>
      </c>
    </row>
    <row r="81" spans="1:20" x14ac:dyDescent="0.2">
      <c r="A81" s="18">
        <v>43189</v>
      </c>
      <c r="B81" s="19">
        <v>337.93</v>
      </c>
      <c r="C81" s="19">
        <v>103.89</v>
      </c>
      <c r="D81" s="19">
        <v>43.43</v>
      </c>
      <c r="E81" s="19">
        <v>2.59</v>
      </c>
      <c r="F81" s="20">
        <v>2640.9</v>
      </c>
      <c r="H81" s="23">
        <f t="shared" si="7"/>
        <v>4.8169843299337156E-3</v>
      </c>
      <c r="I81" s="23">
        <f t="shared" si="8"/>
        <v>2.4960536700868285E-2</v>
      </c>
      <c r="J81" s="23">
        <f t="shared" si="9"/>
        <v>2.5986298133711339E-2</v>
      </c>
      <c r="K81" s="23">
        <f>E80/100/Inputs!$B$17-'Valuation and Bond'!$B$44*(E81-E80)/100+0.5*'Valuation and Bond'!$B$45*((E81-E80)/100)^2</f>
        <v>3.1393860293872696E-3</v>
      </c>
      <c r="L81" s="23">
        <f t="shared" si="10"/>
        <v>2.0322219217246751E-2</v>
      </c>
      <c r="M81" s="23">
        <f t="shared" si="11"/>
        <v>1.8273480361007781E-2</v>
      </c>
      <c r="N81" s="23">
        <f>SUMPRODUCT(H81:K81,Portfolio!$B$23:$E$23)</f>
        <v>1.4725801298475153E-2</v>
      </c>
      <c r="O81" s="23">
        <f>SUMPRODUCT(H81:K81,Portfolio!$B$24:$E$24)</f>
        <v>1.3982997928966356E-2</v>
      </c>
      <c r="Q81" s="21">
        <f t="shared" si="12"/>
        <v>121.405189510592</v>
      </c>
      <c r="R81" s="21">
        <f t="shared" si="13"/>
        <v>123.33738090790204</v>
      </c>
      <c r="S81" s="22">
        <f>Q81/MAX(Q$6:Q81)-1</f>
        <v>-6.5838417595398435E-2</v>
      </c>
      <c r="T81" s="22">
        <f>R81/MAX(R$6:R81)-1</f>
        <v>-8.075463817048989E-2</v>
      </c>
    </row>
    <row r="82" spans="1:20" x14ac:dyDescent="0.2">
      <c r="A82" s="18">
        <v>43196</v>
      </c>
      <c r="B82" s="19">
        <v>334.66</v>
      </c>
      <c r="C82" s="19">
        <v>99.46</v>
      </c>
      <c r="D82" s="19">
        <v>43.92</v>
      </c>
      <c r="E82" s="19">
        <v>2.6</v>
      </c>
      <c r="F82" s="20">
        <v>2604.5</v>
      </c>
      <c r="H82" s="23">
        <f t="shared" si="7"/>
        <v>-9.6765602343680257E-3</v>
      </c>
      <c r="I82" s="23">
        <f t="shared" si="8"/>
        <v>-4.264125517374151E-2</v>
      </c>
      <c r="J82" s="23">
        <f t="shared" si="9"/>
        <v>1.1282523601197303E-2</v>
      </c>
      <c r="K82" s="23">
        <f>E81/100/Inputs!$B$17-'Valuation and Bond'!$B$44*(E82-E81)/100+0.5*'Valuation and Bond'!$B$45*((E82-E81)/100)^2</f>
        <v>6.0573261734129979E-5</v>
      </c>
      <c r="L82" s="23">
        <f t="shared" si="10"/>
        <v>-1.378317997652323E-2</v>
      </c>
      <c r="M82" s="23">
        <f t="shared" si="11"/>
        <v>-1.1533792070637547E-2</v>
      </c>
      <c r="N82" s="23">
        <f>SUMPRODUCT(H82:K82,Portfolio!$B$23:$E$23)</f>
        <v>-1.0243679636294526E-2</v>
      </c>
      <c r="O82" s="23">
        <f>SUMPRODUCT(H82:K82,Portfolio!$B$24:$E$24)</f>
        <v>-3.0473907507942355E-3</v>
      </c>
      <c r="Q82" s="21">
        <f t="shared" si="12"/>
        <v>120.00492729848048</v>
      </c>
      <c r="R82" s="21">
        <f t="shared" si="13"/>
        <v>121.63739958901543</v>
      </c>
      <c r="S82" s="22">
        <f>Q82/MAX(Q$6:Q82)-1</f>
        <v>-7.6612843047230816E-2</v>
      </c>
      <c r="T82" s="22">
        <f>R82/MAX(R$6:R82)-1</f>
        <v>-9.3424762435170172E-2</v>
      </c>
    </row>
    <row r="83" spans="1:20" x14ac:dyDescent="0.2">
      <c r="A83" s="18">
        <v>43203</v>
      </c>
      <c r="B83" s="19">
        <v>342.6</v>
      </c>
      <c r="C83" s="19">
        <v>102.16</v>
      </c>
      <c r="D83" s="19">
        <v>44.51</v>
      </c>
      <c r="E83" s="19">
        <v>2.64</v>
      </c>
      <c r="F83" s="20">
        <v>2656.3</v>
      </c>
      <c r="H83" s="23">
        <f t="shared" si="7"/>
        <v>2.3725572222554225E-2</v>
      </c>
      <c r="I83" s="23">
        <f t="shared" si="8"/>
        <v>2.7146591594610969E-2</v>
      </c>
      <c r="J83" s="23">
        <f t="shared" si="9"/>
        <v>1.3433515482695668E-2</v>
      </c>
      <c r="K83" s="23">
        <f>E82/100/Inputs!$B$17-'Valuation and Bond'!$B$44*(E83-E82)/100+0.5*'Valuation and Bond'!$B$45*((E83-E82)/100)^2</f>
        <v>-1.2486578805953664E-3</v>
      </c>
      <c r="L83" s="23">
        <f t="shared" si="10"/>
        <v>1.9888654252255833E-2</v>
      </c>
      <c r="M83" s="23">
        <f t="shared" si="11"/>
        <v>1.638609344500077E-2</v>
      </c>
      <c r="N83" s="23">
        <f>SUMPRODUCT(H83:K83,Portfolio!$B$23:$E$23)</f>
        <v>1.5764255354816376E-2</v>
      </c>
      <c r="O83" s="23">
        <f>SUMPRODUCT(H83:K83,Portfolio!$B$24:$E$24)</f>
        <v>1.0702903528364607E-2</v>
      </c>
      <c r="Q83" s="21">
        <f t="shared" si="12"/>
        <v>121.97133925105392</v>
      </c>
      <c r="R83" s="21">
        <f t="shared" si="13"/>
        <v>124.05660377358484</v>
      </c>
      <c r="S83" s="22">
        <f>Q83/MAX(Q$6:Q83)-1</f>
        <v>-6.1482134807488986E-2</v>
      </c>
      <c r="T83" s="22">
        <f>R83/MAX(R$6:R83)-1</f>
        <v>-7.5394200981586668E-2</v>
      </c>
    </row>
    <row r="84" spans="1:20" x14ac:dyDescent="0.2">
      <c r="A84" s="18">
        <v>43210</v>
      </c>
      <c r="B84" s="19">
        <v>351.99</v>
      </c>
      <c r="C84" s="19">
        <v>99.96</v>
      </c>
      <c r="D84" s="19">
        <v>43.74</v>
      </c>
      <c r="E84" s="19">
        <v>2.73</v>
      </c>
      <c r="F84" s="20">
        <v>2670.1</v>
      </c>
      <c r="H84" s="23">
        <f t="shared" si="7"/>
        <v>2.7408056042031559E-2</v>
      </c>
      <c r="I84" s="23">
        <f t="shared" si="8"/>
        <v>-2.1534847298355531E-2</v>
      </c>
      <c r="J84" s="23">
        <f t="shared" si="9"/>
        <v>-1.729948326218822E-2</v>
      </c>
      <c r="K84" s="23">
        <f>E83/100/Inputs!$B$17-'Valuation and Bond'!$B$44*(E84-E83)/100+0.5*'Valuation and Bond'!$B$45*((E84-E83)/100)^2</f>
        <v>-3.42170005573813E-3</v>
      </c>
      <c r="L84" s="23">
        <f t="shared" si="10"/>
        <v>5.1951963257161893E-3</v>
      </c>
      <c r="M84" s="23">
        <f t="shared" si="11"/>
        <v>-9.9978477950242953E-3</v>
      </c>
      <c r="N84" s="23">
        <f>SUMPRODUCT(H84:K84,Portfolio!$B$23:$E$23)</f>
        <v>-3.7119936435625802E-3</v>
      </c>
      <c r="O84" s="23">
        <f>SUMPRODUCT(H84:K84,Portfolio!$B$24:$E$24)</f>
        <v>-6.5463303616828073E-3</v>
      </c>
      <c r="Q84" s="21">
        <f t="shared" si="12"/>
        <v>120.75188836586661</v>
      </c>
      <c r="R84" s="21">
        <f t="shared" si="13"/>
        <v>124.7011021856902</v>
      </c>
      <c r="S84" s="22">
        <f>Q84/MAX(Q$6:Q84)-1</f>
        <v>-7.0865293576594879E-2</v>
      </c>
      <c r="T84" s="22">
        <f>R84/MAX(R$6:R84)-1</f>
        <v>-7.0590692331790272E-2</v>
      </c>
    </row>
    <row r="85" spans="1:20" x14ac:dyDescent="0.2">
      <c r="A85" s="18">
        <v>43217</v>
      </c>
      <c r="B85" s="19">
        <v>322.02999999999997</v>
      </c>
      <c r="C85" s="19">
        <v>102.51</v>
      </c>
      <c r="D85" s="19">
        <v>43.31</v>
      </c>
      <c r="E85" s="19">
        <v>2.82</v>
      </c>
      <c r="F85" s="20">
        <v>2669.9</v>
      </c>
      <c r="H85" s="23">
        <f t="shared" si="7"/>
        <v>-8.5116054433364674E-2</v>
      </c>
      <c r="I85" s="23">
        <f t="shared" si="8"/>
        <v>2.5510204081632848E-2</v>
      </c>
      <c r="J85" s="23">
        <f t="shared" si="9"/>
        <v>-9.8308184727937675E-3</v>
      </c>
      <c r="K85" s="23">
        <f>E84/100/Inputs!$B$17-'Valuation and Bond'!$B$44*(E85-E84)/100+0.5*'Valuation and Bond'!$B$45*((E85-E84)/100)^2</f>
        <v>-3.4043923634304377E-3</v>
      </c>
      <c r="L85" s="23">
        <f t="shared" si="10"/>
        <v>-7.4903561664285689E-5</v>
      </c>
      <c r="M85" s="23">
        <f t="shared" si="11"/>
        <v>-6.8582895727359629E-3</v>
      </c>
      <c r="N85" s="23">
        <f>SUMPRODUCT(H85:K85,Portfolio!$B$23:$E$23)</f>
        <v>-1.8210265296989006E-2</v>
      </c>
      <c r="O85" s="23">
        <f>SUMPRODUCT(H85:K85,Portfolio!$B$24:$E$24)</f>
        <v>-1.2285363558159941E-2</v>
      </c>
      <c r="Q85" s="21">
        <f t="shared" si="12"/>
        <v>119.92373694899881</v>
      </c>
      <c r="R85" s="21">
        <f t="shared" si="13"/>
        <v>124.69176162899304</v>
      </c>
      <c r="S85" s="22">
        <f>Q85/MAX(Q$6:Q85)-1</f>
        <v>-7.7237568445325588E-2</v>
      </c>
      <c r="T85" s="22">
        <f>R85/MAX(R$6:R85)-1</f>
        <v>-7.0660308399178473E-2</v>
      </c>
    </row>
    <row r="86" spans="1:20" x14ac:dyDescent="0.2">
      <c r="A86" s="18">
        <v>43224</v>
      </c>
      <c r="B86" s="19">
        <v>311.44</v>
      </c>
      <c r="C86" s="19">
        <v>104.69</v>
      </c>
      <c r="D86" s="19">
        <v>42.36</v>
      </c>
      <c r="E86" s="19">
        <v>2.79</v>
      </c>
      <c r="F86" s="20">
        <v>2663.4</v>
      </c>
      <c r="H86" s="23">
        <f t="shared" si="7"/>
        <v>-3.2885134925317416E-2</v>
      </c>
      <c r="I86" s="23">
        <f t="shared" si="8"/>
        <v>2.1266217929958087E-2</v>
      </c>
      <c r="J86" s="23">
        <f t="shared" si="9"/>
        <v>-2.1934888016624354E-2</v>
      </c>
      <c r="K86" s="23">
        <f>E85/100/Inputs!$B$17-'Valuation and Bond'!$B$44*(E86-E85)/100+0.5*'Valuation and Bond'!$B$45*((E86-E85)/100)^2</f>
        <v>1.8561754411117999E-3</v>
      </c>
      <c r="L86" s="23">
        <f t="shared" si="10"/>
        <v>-2.4345481104161015E-3</v>
      </c>
      <c r="M86" s="23">
        <f t="shared" si="11"/>
        <v>-4.371218078106749E-3</v>
      </c>
      <c r="N86" s="23">
        <f>SUMPRODUCT(H86:K86,Portfolio!$B$23:$E$23)</f>
        <v>-7.9244073927179706E-3</v>
      </c>
      <c r="O86" s="23">
        <f>SUMPRODUCT(H86:K86,Portfolio!$B$24:$E$24)</f>
        <v>-8.1101230327329122E-3</v>
      </c>
      <c r="Q86" s="21">
        <f t="shared" si="12"/>
        <v>119.39952414205324</v>
      </c>
      <c r="R86" s="21">
        <f t="shared" si="13"/>
        <v>124.38819353633471</v>
      </c>
      <c r="S86" s="22">
        <f>Q86/MAX(Q$6:Q86)-1</f>
        <v>-8.1271164267935125E-2</v>
      </c>
      <c r="T86" s="22">
        <f>R86/MAX(R$6:R86)-1</f>
        <v>-7.2922830589300047E-2</v>
      </c>
    </row>
    <row r="87" spans="1:20" x14ac:dyDescent="0.2">
      <c r="A87" s="18">
        <v>43231</v>
      </c>
      <c r="B87" s="19">
        <v>324.04000000000002</v>
      </c>
      <c r="C87" s="19">
        <v>109.25</v>
      </c>
      <c r="D87" s="19">
        <v>42.14</v>
      </c>
      <c r="E87" s="19">
        <v>2.82</v>
      </c>
      <c r="F87" s="20">
        <v>2727.7</v>
      </c>
      <c r="H87" s="23">
        <f t="shared" si="7"/>
        <v>4.0457230927305465E-2</v>
      </c>
      <c r="I87" s="23">
        <f t="shared" si="8"/>
        <v>4.3557168784029043E-2</v>
      </c>
      <c r="J87" s="23">
        <f t="shared" si="9"/>
        <v>-5.193578847969782E-3</v>
      </c>
      <c r="K87" s="23">
        <f>E86/100/Inputs!$B$17-'Valuation and Bond'!$B$44*(E87-E86)/100+0.5*'Valuation and Bond'!$B$45*((E87-E86)/100)^2</f>
        <v>-7.7529414010199527E-4</v>
      </c>
      <c r="L87" s="23">
        <f t="shared" si="10"/>
        <v>2.4142074040699679E-2</v>
      </c>
      <c r="M87" s="23">
        <f t="shared" si="11"/>
        <v>1.7826557107387359E-2</v>
      </c>
      <c r="N87" s="23">
        <f>SUMPRODUCT(H87:K87,Portfolio!$B$23:$E$23)</f>
        <v>1.9511381680815683E-2</v>
      </c>
      <c r="O87" s="23">
        <f>SUMPRODUCT(H87:K87,Portfolio!$B$24:$E$24)</f>
        <v>8.9127234016869554E-3</v>
      </c>
      <c r="Q87" s="21">
        <f t="shared" si="12"/>
        <v>121.52800657776643</v>
      </c>
      <c r="R87" s="21">
        <f t="shared" si="13"/>
        <v>127.39118251447779</v>
      </c>
      <c r="S87" s="22">
        <f>Q87/MAX(Q$6:Q87)-1</f>
        <v>-6.489339221155388E-2</v>
      </c>
      <c r="T87" s="22">
        <f>R87/MAX(R$6:R87)-1</f>
        <v>-5.0541264923944618E-2</v>
      </c>
    </row>
    <row r="88" spans="1:20" x14ac:dyDescent="0.2">
      <c r="A88" s="18">
        <v>43238</v>
      </c>
      <c r="B88" s="19">
        <v>320.45</v>
      </c>
      <c r="C88" s="19">
        <v>110.54</v>
      </c>
      <c r="D88" s="19">
        <v>42.18</v>
      </c>
      <c r="E88" s="19">
        <v>2.91</v>
      </c>
      <c r="F88" s="20">
        <v>2713</v>
      </c>
      <c r="H88" s="23">
        <f t="shared" si="7"/>
        <v>-1.1078879150722254E-2</v>
      </c>
      <c r="I88" s="23">
        <f t="shared" si="8"/>
        <v>1.1807780320366223E-2</v>
      </c>
      <c r="J88" s="23">
        <f t="shared" si="9"/>
        <v>9.492168960607561E-4</v>
      </c>
      <c r="K88" s="23">
        <f>E87/100/Inputs!$B$17-'Valuation and Bond'!$B$44*(E88-E87)/100+0.5*'Valuation and Bond'!$B$45*((E88-E87)/100)^2</f>
        <v>-3.3870846711227648E-3</v>
      </c>
      <c r="L88" s="23">
        <f t="shared" si="10"/>
        <v>-5.3891556989403844E-3</v>
      </c>
      <c r="M88" s="23">
        <f t="shared" si="11"/>
        <v>2.0715597864461076E-3</v>
      </c>
      <c r="N88" s="23">
        <f>SUMPRODUCT(H88:K88,Portfolio!$B$23:$E$23)</f>
        <v>-4.272416513545098E-4</v>
      </c>
      <c r="O88" s="23">
        <f>SUMPRODUCT(H88:K88,Portfolio!$B$24:$E$24)</f>
        <v>-8.9805151386493842E-4</v>
      </c>
      <c r="Q88" s="21">
        <f t="shared" si="12"/>
        <v>121.77975910911988</v>
      </c>
      <c r="R88" s="21">
        <f t="shared" si="13"/>
        <v>126.70465159723514</v>
      </c>
      <c r="S88" s="22">
        <f>Q88/MAX(Q$6:Q88)-1</f>
        <v>-6.2956262966819332E-2</v>
      </c>
      <c r="T88" s="22">
        <f>R88/MAX(R$6:R88)-1</f>
        <v>-5.5658045876988416E-2</v>
      </c>
    </row>
    <row r="89" spans="1:20" x14ac:dyDescent="0.2">
      <c r="A89" s="18">
        <v>43245</v>
      </c>
      <c r="B89" s="19">
        <v>320.8</v>
      </c>
      <c r="C89" s="19">
        <v>111.56</v>
      </c>
      <c r="D89" s="19">
        <v>42.4</v>
      </c>
      <c r="E89" s="19">
        <v>2.84</v>
      </c>
      <c r="F89" s="20">
        <v>2721.3</v>
      </c>
      <c r="H89" s="23">
        <f t="shared" si="7"/>
        <v>1.0922140739586528E-3</v>
      </c>
      <c r="I89" s="23">
        <f t="shared" si="8"/>
        <v>9.227428984982744E-3</v>
      </c>
      <c r="J89" s="23">
        <f t="shared" si="9"/>
        <v>5.2157420578473612E-3</v>
      </c>
      <c r="K89" s="23">
        <f>E88/100/Inputs!$B$17-'Valuation and Bond'!$B$44*(E89-E88)/100+0.5*'Valuation and Bond'!$B$45*((E89-E88)/100)^2</f>
        <v>3.6284725829684576E-3</v>
      </c>
      <c r="L89" s="23">
        <f t="shared" si="10"/>
        <v>3.0593438997419398E-3</v>
      </c>
      <c r="M89" s="23">
        <f t="shared" si="11"/>
        <v>5.6757773909610031E-3</v>
      </c>
      <c r="N89" s="23">
        <f>SUMPRODUCT(H89:K89,Portfolio!$B$23:$E$23)</f>
        <v>4.7909644249393042E-3</v>
      </c>
      <c r="O89" s="23">
        <f>SUMPRODUCT(H89:K89,Portfolio!$B$24:$E$24)</f>
        <v>4.5804588599252698E-3</v>
      </c>
      <c r="Q89" s="21">
        <f t="shared" si="12"/>
        <v>122.4709539125481</v>
      </c>
      <c r="R89" s="21">
        <f t="shared" si="13"/>
        <v>127.09228470016807</v>
      </c>
      <c r="S89" s="22">
        <f>Q89/MAX(Q$6:Q89)-1</f>
        <v>-5.7637811309824816E-2</v>
      </c>
      <c r="T89" s="22">
        <f>R89/MAX(R$6:R89)-1</f>
        <v>-5.2768979080371814E-2</v>
      </c>
    </row>
    <row r="90" spans="1:20" x14ac:dyDescent="0.2">
      <c r="A90" s="18">
        <v>43252</v>
      </c>
      <c r="B90" s="19">
        <v>316.63</v>
      </c>
      <c r="C90" s="19">
        <v>114.8</v>
      </c>
      <c r="D90" s="19">
        <v>43.12</v>
      </c>
      <c r="E90" s="19">
        <v>2.67</v>
      </c>
      <c r="F90" s="20">
        <v>2734.6</v>
      </c>
      <c r="H90" s="23">
        <f t="shared" si="7"/>
        <v>-1.2998753117206996E-2</v>
      </c>
      <c r="I90" s="23">
        <f t="shared" si="8"/>
        <v>2.9042667622803719E-2</v>
      </c>
      <c r="J90" s="23">
        <f t="shared" si="9"/>
        <v>1.6981132075471583E-2</v>
      </c>
      <c r="K90" s="23">
        <f>E89/100/Inputs!$B$17-'Valuation and Bond'!$B$44*(E90-E89)/100+0.5*'Valuation and Bond'!$B$45*((E90-E89)/100)^2</f>
        <v>8.0183135907632135E-3</v>
      </c>
      <c r="L90" s="23">
        <f t="shared" si="10"/>
        <v>4.887370006981806E-3</v>
      </c>
      <c r="M90" s="23">
        <f t="shared" si="11"/>
        <v>1.5196540321119605E-2</v>
      </c>
      <c r="N90" s="23">
        <f>SUMPRODUCT(H90:K90,Portfolio!$B$23:$E$23)</f>
        <v>1.0260840042957881E-2</v>
      </c>
      <c r="O90" s="23">
        <f>SUMPRODUCT(H90:K90,Portfolio!$B$24:$E$24)</f>
        <v>1.1128544786718741E-2</v>
      </c>
      <c r="Q90" s="21">
        <f t="shared" si="12"/>
        <v>124.33208870184612</v>
      </c>
      <c r="R90" s="21">
        <f t="shared" si="13"/>
        <v>127.71343172053047</v>
      </c>
      <c r="S90" s="22">
        <f>Q90/MAX(Q$6:Q90)-1</f>
        <v>-4.3317166312296096E-2</v>
      </c>
      <c r="T90" s="22">
        <f>R90/MAX(R$6:R90)-1</f>
        <v>-4.813951059904642E-2</v>
      </c>
    </row>
    <row r="91" spans="1:20" x14ac:dyDescent="0.2">
      <c r="A91" s="18">
        <v>43259</v>
      </c>
      <c r="B91" s="19">
        <v>322.31</v>
      </c>
      <c r="C91" s="19">
        <v>115.74</v>
      </c>
      <c r="D91" s="19">
        <v>43.95</v>
      </c>
      <c r="E91" s="19">
        <v>2.78</v>
      </c>
      <c r="F91" s="20">
        <v>2779</v>
      </c>
      <c r="H91" s="23">
        <f t="shared" si="7"/>
        <v>1.7938919243280838E-2</v>
      </c>
      <c r="I91" s="23">
        <f t="shared" si="8"/>
        <v>8.1881533101044734E-3</v>
      </c>
      <c r="J91" s="23">
        <f t="shared" si="9"/>
        <v>1.9248608534322864E-2</v>
      </c>
      <c r="K91" s="23">
        <f>E90/100/Inputs!$B$17-'Valuation and Bond'!$B$44*(E91-E90)/100+0.5*'Valuation and Bond'!$B$45*((E91-E90)/100)^2</f>
        <v>-4.2866417258645376E-3</v>
      </c>
      <c r="L91" s="23">
        <f t="shared" si="10"/>
        <v>1.6236378263731366E-2</v>
      </c>
      <c r="M91" s="23">
        <f t="shared" si="11"/>
        <v>1.0718074427230247E-2</v>
      </c>
      <c r="N91" s="23">
        <f>SUMPRODUCT(H91:K91,Portfolio!$B$23:$E$23)</f>
        <v>1.027225984046091E-2</v>
      </c>
      <c r="O91" s="23">
        <f>SUMPRODUCT(H91:K91,Portfolio!$B$24:$E$24)</f>
        <v>8.2012852089460696E-3</v>
      </c>
      <c r="Q91" s="21">
        <f t="shared" si="12"/>
        <v>125.66468928224549</v>
      </c>
      <c r="R91" s="21">
        <f t="shared" si="13"/>
        <v>129.78703530730422</v>
      </c>
      <c r="S91" s="22">
        <f>Q91/MAX(Q$6:Q91)-1</f>
        <v>-3.3063368497577739E-2</v>
      </c>
      <c r="T91" s="22">
        <f>R91/MAX(R$6:R91)-1</f>
        <v>-3.2684743638832114E-2</v>
      </c>
    </row>
    <row r="92" spans="1:20" x14ac:dyDescent="0.2">
      <c r="A92" s="18">
        <v>43266</v>
      </c>
      <c r="B92" s="19">
        <v>310.14</v>
      </c>
      <c r="C92" s="19">
        <v>115.89</v>
      </c>
      <c r="D92" s="19">
        <v>44.12</v>
      </c>
      <c r="E92" s="19">
        <v>2.82</v>
      </c>
      <c r="F92" s="20">
        <v>2779.7</v>
      </c>
      <c r="H92" s="23">
        <f t="shared" si="7"/>
        <v>-3.7758679532127526E-2</v>
      </c>
      <c r="I92" s="23">
        <f t="shared" si="8"/>
        <v>1.2960082944530882E-3</v>
      </c>
      <c r="J92" s="23">
        <f t="shared" si="9"/>
        <v>3.8680318543797831E-3</v>
      </c>
      <c r="K92" s="23">
        <f>E91/100/Inputs!$B$17-'Valuation and Bond'!$B$44*(E92-E91)/100+0.5*'Valuation and Bond'!$B$45*((E92-E91)/100)^2</f>
        <v>-1.2140424959799817E-3</v>
      </c>
      <c r="L92" s="23">
        <f t="shared" si="10"/>
        <v>2.5188916876572875E-4</v>
      </c>
      <c r="M92" s="23">
        <f t="shared" si="11"/>
        <v>-3.5126900491801974E-3</v>
      </c>
      <c r="N92" s="23">
        <f>SUMPRODUCT(H92:K92,Portfolio!$B$23:$E$23)</f>
        <v>-8.4521704698186598E-3</v>
      </c>
      <c r="O92" s="23">
        <f>SUMPRODUCT(H92:K92,Portfolio!$B$24:$E$24)</f>
        <v>-3.8710169028192088E-3</v>
      </c>
      <c r="Q92" s="21">
        <f t="shared" si="12"/>
        <v>125.22326817867042</v>
      </c>
      <c r="R92" s="21">
        <f t="shared" si="13"/>
        <v>129.81972725574434</v>
      </c>
      <c r="S92" s="22">
        <f>Q92/MAX(Q$6:Q92)-1</f>
        <v>-3.6459917181244195E-2</v>
      </c>
      <c r="T92" s="22">
        <f>R92/MAX(R$6:R92)-1</f>
        <v>-3.2441087402972912E-2</v>
      </c>
    </row>
    <row r="93" spans="1:20" x14ac:dyDescent="0.2">
      <c r="A93" s="18">
        <v>43273</v>
      </c>
      <c r="B93" s="19">
        <v>299.38</v>
      </c>
      <c r="C93" s="19">
        <v>112.38</v>
      </c>
      <c r="D93" s="19">
        <v>43.25</v>
      </c>
      <c r="E93" s="19">
        <v>2.78</v>
      </c>
      <c r="F93" s="20">
        <v>2754.9</v>
      </c>
      <c r="H93" s="23">
        <f t="shared" si="7"/>
        <v>-3.4694009157154815E-2</v>
      </c>
      <c r="I93" s="23">
        <f t="shared" si="8"/>
        <v>-3.0287341444473204E-2</v>
      </c>
      <c r="J93" s="23">
        <f t="shared" si="9"/>
        <v>-1.9718948322756114E-2</v>
      </c>
      <c r="K93" s="23">
        <f>E92/100/Inputs!$B$17-'Valuation and Bond'!$B$44*(E93-E92)/100+0.5*'Valuation and Bond'!$B$45*((E93-E92)/100)^2</f>
        <v>2.294583612305104E-3</v>
      </c>
      <c r="L93" s="23">
        <f t="shared" si="10"/>
        <v>-8.9218260963411788E-3</v>
      </c>
      <c r="M93" s="23">
        <f t="shared" si="11"/>
        <v>-2.0788007226468338E-2</v>
      </c>
      <c r="N93" s="23">
        <f>SUMPRODUCT(H93:K93,Portfolio!$B$23:$E$23)</f>
        <v>-2.0601428828019758E-2</v>
      </c>
      <c r="O93" s="23">
        <f>SUMPRODUCT(H93:K93,Portfolio!$B$24:$E$24)</f>
        <v>-1.4243076139600961E-2</v>
      </c>
      <c r="Q93" s="21">
        <f t="shared" si="12"/>
        <v>122.62012597485024</v>
      </c>
      <c r="R93" s="21">
        <f t="shared" si="13"/>
        <v>128.66149822529414</v>
      </c>
      <c r="S93" s="22">
        <f>Q93/MAX(Q$6:Q93)-1</f>
        <v>-5.6489995385872405E-2</v>
      </c>
      <c r="T93" s="22">
        <f>R93/MAX(R$6:R93)-1</f>
        <v>-4.1073479759128673E-2</v>
      </c>
    </row>
    <row r="94" spans="1:20" x14ac:dyDescent="0.2">
      <c r="A94" s="18">
        <v>43280</v>
      </c>
      <c r="B94" s="19">
        <v>295.43</v>
      </c>
      <c r="C94" s="19">
        <v>110.25</v>
      </c>
      <c r="D94" s="19">
        <v>43.86</v>
      </c>
      <c r="E94" s="19">
        <v>2.73</v>
      </c>
      <c r="F94" s="20">
        <v>2718.4</v>
      </c>
      <c r="H94" s="23">
        <f t="shared" si="7"/>
        <v>-1.3193934130536378E-2</v>
      </c>
      <c r="I94" s="23">
        <f t="shared" si="8"/>
        <v>-1.8953550453817414E-2</v>
      </c>
      <c r="J94" s="23">
        <f t="shared" si="9"/>
        <v>1.4104046242774615E-2</v>
      </c>
      <c r="K94" s="23">
        <f>E93/100/Inputs!$B$17-'Valuation and Bond'!$B$44*(E94-E93)/100+0.5*'Valuation and Bond'!$B$45*((E94-E93)/100)^2</f>
        <v>2.7255256032687096E-3</v>
      </c>
      <c r="L94" s="23">
        <f t="shared" si="10"/>
        <v>-1.3249119750263216E-2</v>
      </c>
      <c r="M94" s="23">
        <f t="shared" si="11"/>
        <v>-2.6976471944656424E-3</v>
      </c>
      <c r="N94" s="23">
        <f>SUMPRODUCT(H94:K94,Portfolio!$B$23:$E$23)</f>
        <v>-3.829478184577617E-3</v>
      </c>
      <c r="O94" s="23">
        <f>SUMPRODUCT(H94:K94,Portfolio!$B$24:$E$24)</f>
        <v>1.6571025142236816E-3</v>
      </c>
      <c r="Q94" s="21">
        <f t="shared" si="12"/>
        <v>122.28934013602917</v>
      </c>
      <c r="R94" s="21">
        <f t="shared" si="13"/>
        <v>126.95684662805894</v>
      </c>
      <c r="S94" s="22">
        <f>Q94/MAX(Q$6:Q94)-1</f>
        <v>-5.9035252502769864E-2</v>
      </c>
      <c r="T94" s="22">
        <f>R94/MAX(R$6:R94)-1</f>
        <v>-5.3778412057503111E-2</v>
      </c>
    </row>
    <row r="95" spans="1:20" x14ac:dyDescent="0.2">
      <c r="A95" s="18">
        <v>43287</v>
      </c>
      <c r="B95" s="19">
        <v>299.19</v>
      </c>
      <c r="C95" s="19">
        <v>112.71</v>
      </c>
      <c r="D95" s="19">
        <v>44.64</v>
      </c>
      <c r="E95" s="19">
        <v>2.73</v>
      </c>
      <c r="F95" s="20">
        <v>2759.8</v>
      </c>
      <c r="H95" s="23">
        <f t="shared" si="7"/>
        <v>1.2727211183698239E-2</v>
      </c>
      <c r="I95" s="23">
        <f t="shared" si="8"/>
        <v>2.2312925170067999E-2</v>
      </c>
      <c r="J95" s="23">
        <f t="shared" si="9"/>
        <v>1.7783857729138264E-2</v>
      </c>
      <c r="K95" s="23">
        <f>E94/100/Inputs!$B$17-'Valuation and Bond'!$B$44*(E95-E94)/100+0.5*'Valuation and Bond'!$B$45*((E95-E94)/100)^2</f>
        <v>5.2500000000000008E-4</v>
      </c>
      <c r="L95" s="23">
        <f t="shared" si="10"/>
        <v>1.5229546792230764E-2</v>
      </c>
      <c r="M95" s="23">
        <f t="shared" si="11"/>
        <v>1.515667277154662E-2</v>
      </c>
      <c r="N95" s="23">
        <f>SUMPRODUCT(H95:K95,Portfolio!$B$23:$E$23)</f>
        <v>1.3337248520726125E-2</v>
      </c>
      <c r="O95" s="23">
        <f>SUMPRODUCT(H95:K95,Portfolio!$B$24:$E$24)</f>
        <v>1.0828161426954835E-2</v>
      </c>
      <c r="Q95" s="21">
        <f t="shared" si="12"/>
        <v>124.14283964791933</v>
      </c>
      <c r="R95" s="21">
        <f t="shared" si="13"/>
        <v>128.89034186437502</v>
      </c>
      <c r="S95" s="22">
        <f>Q95/MAX(Q$6:Q95)-1</f>
        <v>-4.4773357735393371E-2</v>
      </c>
      <c r="T95" s="22">
        <f>R95/MAX(R$6:R95)-1</f>
        <v>-3.9367886108114036E-2</v>
      </c>
    </row>
    <row r="96" spans="1:20" x14ac:dyDescent="0.2">
      <c r="A96" s="18">
        <v>43294</v>
      </c>
      <c r="B96" s="19">
        <v>318.37</v>
      </c>
      <c r="C96" s="19">
        <v>115.14</v>
      </c>
      <c r="D96" s="19">
        <v>44.74</v>
      </c>
      <c r="E96" s="19">
        <v>2.75</v>
      </c>
      <c r="F96" s="20">
        <v>2801.3</v>
      </c>
      <c r="H96" s="23">
        <f t="shared" si="7"/>
        <v>6.4106420669139963E-2</v>
      </c>
      <c r="I96" s="23">
        <f t="shared" si="8"/>
        <v>2.1559755123768953E-2</v>
      </c>
      <c r="J96" s="23">
        <f t="shared" si="9"/>
        <v>2.2401433691756623E-3</v>
      </c>
      <c r="K96" s="23">
        <f>E95/100/Inputs!$B$17-'Valuation and Bond'!$B$44*(E96-E95)/100+0.5*'Valuation and Bond'!$B$45*((E96-E95)/100)^2</f>
        <v>-3.497811952229388E-4</v>
      </c>
      <c r="L96" s="23">
        <f t="shared" si="10"/>
        <v>1.503732154503945E-2</v>
      </c>
      <c r="M96" s="23">
        <f t="shared" si="11"/>
        <v>1.6294912077556997E-2</v>
      </c>
      <c r="N96" s="23">
        <f>SUMPRODUCT(H96:K96,Portfolio!$B$23:$E$23)</f>
        <v>2.1889134491715409E-2</v>
      </c>
      <c r="O96" s="23">
        <f>SUMPRODUCT(H96:K96,Portfolio!$B$24:$E$24)</f>
        <v>1.1736653283689771E-2</v>
      </c>
      <c r="Q96" s="21">
        <f t="shared" si="12"/>
        <v>126.16573630504044</v>
      </c>
      <c r="R96" s="21">
        <f t="shared" si="13"/>
        <v>130.82850737903968</v>
      </c>
      <c r="S96" s="22">
        <f>Q96/MAX(Q$6:Q96)-1</f>
        <v>-2.9208023585551524E-2</v>
      </c>
      <c r="T96" s="22">
        <f>R96/MAX(R$6:R96)-1</f>
        <v>-2.4922552125030917E-2</v>
      </c>
    </row>
    <row r="97" spans="1:20" x14ac:dyDescent="0.2">
      <c r="A97" s="18">
        <v>43301</v>
      </c>
      <c r="B97" s="19">
        <v>322.55</v>
      </c>
      <c r="C97" s="19">
        <v>115</v>
      </c>
      <c r="D97" s="19">
        <v>45.28</v>
      </c>
      <c r="E97" s="19">
        <v>2.76</v>
      </c>
      <c r="F97" s="20">
        <v>2801.8</v>
      </c>
      <c r="H97" s="23">
        <f t="shared" si="7"/>
        <v>1.3129377768005712E-2</v>
      </c>
      <c r="I97" s="23">
        <f t="shared" si="8"/>
        <v>-1.2159110647906868E-3</v>
      </c>
      <c r="J97" s="23">
        <f t="shared" si="9"/>
        <v>1.2069736253911501E-2</v>
      </c>
      <c r="K97" s="23">
        <f>E96/100/Inputs!$B$17-'Valuation and Bond'!$B$44*(E97-E96)/100+0.5*'Valuation and Bond'!$B$45*((E97-E96)/100)^2</f>
        <v>9.1342492503380181E-5</v>
      </c>
      <c r="L97" s="23">
        <f t="shared" si="10"/>
        <v>1.7848855888336068E-4</v>
      </c>
      <c r="M97" s="23">
        <f t="shared" si="11"/>
        <v>5.430196387075638E-3</v>
      </c>
      <c r="N97" s="23">
        <f>SUMPRODUCT(H97:K97,Portfolio!$B$23:$E$23)</f>
        <v>6.0186363624074764E-3</v>
      </c>
      <c r="O97" s="23">
        <f>SUMPRODUCT(H97:K97,Portfolio!$B$24:$E$24)</f>
        <v>5.6559468355188262E-3</v>
      </c>
      <c r="Q97" s="21">
        <f t="shared" si="12"/>
        <v>126.8508410304968</v>
      </c>
      <c r="R97" s="21">
        <f t="shared" si="13"/>
        <v>130.85185877078263</v>
      </c>
      <c r="S97" s="22">
        <f>Q97/MAX(Q$6:Q97)-1</f>
        <v>-2.3936432502623894E-2</v>
      </c>
      <c r="T97" s="22">
        <f>R97/MAX(R$6:R97)-1</f>
        <v>-2.4748511956560026E-2</v>
      </c>
    </row>
    <row r="98" spans="1:20" x14ac:dyDescent="0.2">
      <c r="A98" s="18">
        <v>43308</v>
      </c>
      <c r="B98" s="19">
        <v>324.08999999999997</v>
      </c>
      <c r="C98" s="19">
        <v>112.6</v>
      </c>
      <c r="D98" s="19">
        <v>46.21</v>
      </c>
      <c r="E98" s="19">
        <v>2.84</v>
      </c>
      <c r="F98" s="20">
        <v>2818.8</v>
      </c>
      <c r="H98" s="23">
        <f t="shared" si="7"/>
        <v>4.7744535730893656E-3</v>
      </c>
      <c r="I98" s="23">
        <f t="shared" si="8"/>
        <v>-2.0869565217391362E-2</v>
      </c>
      <c r="J98" s="23">
        <f t="shared" si="9"/>
        <v>2.0538869257950454E-2</v>
      </c>
      <c r="K98" s="23">
        <f>E97/100/Inputs!$B$17-'Valuation and Bond'!$B$44*(E98-E97)/100+0.5*'Valuation and Bond'!$B$45*((E98-E97)/100)^2</f>
        <v>-2.9629284910194565E-3</v>
      </c>
      <c r="L98" s="23">
        <f t="shared" si="10"/>
        <v>6.0675280177029389E-3</v>
      </c>
      <c r="M98" s="23">
        <f t="shared" si="11"/>
        <v>8.4941253049578198E-5</v>
      </c>
      <c r="N98" s="23">
        <f>SUMPRODUCT(H98:K98,Portfolio!$B$23:$E$23)</f>
        <v>3.7020728065725037E-4</v>
      </c>
      <c r="O98" s="23">
        <f>SUMPRODUCT(H98:K98,Portfolio!$B$24:$E$24)</f>
        <v>3.6236402520486389E-3</v>
      </c>
      <c r="Q98" s="21">
        <f t="shared" si="12"/>
        <v>126.8616158998843</v>
      </c>
      <c r="R98" s="21">
        <f t="shared" si="13"/>
        <v>131.64580609004287</v>
      </c>
      <c r="S98" s="22">
        <f>Q98/MAX(Q$6:Q98)-1</f>
        <v>-2.3853524440144769E-2</v>
      </c>
      <c r="T98" s="22">
        <f>R98/MAX(R$6:R98)-1</f>
        <v>-1.8831146228549867E-2</v>
      </c>
    </row>
    <row r="99" spans="1:20" x14ac:dyDescent="0.2">
      <c r="A99" s="18">
        <v>43315</v>
      </c>
      <c r="B99" s="19">
        <v>320.55</v>
      </c>
      <c r="C99" s="19">
        <v>112.84</v>
      </c>
      <c r="D99" s="19">
        <v>46.62</v>
      </c>
      <c r="E99" s="19">
        <v>2.85</v>
      </c>
      <c r="F99" s="20">
        <v>2840.3</v>
      </c>
      <c r="H99" s="23">
        <f t="shared" si="7"/>
        <v>-1.0922891789317712E-2</v>
      </c>
      <c r="I99" s="23">
        <f t="shared" si="8"/>
        <v>2.131438721136858E-3</v>
      </c>
      <c r="J99" s="23">
        <f t="shared" si="9"/>
        <v>8.8725384115990735E-3</v>
      </c>
      <c r="K99" s="23">
        <f>E98/100/Inputs!$B$17-'Valuation and Bond'!$B$44*(E99-E98)/100+0.5*'Valuation and Bond'!$B$45*((E99-E98)/100)^2</f>
        <v>1.0865018481105312E-4</v>
      </c>
      <c r="L99" s="23">
        <f t="shared" si="10"/>
        <v>7.6273591599262947E-3</v>
      </c>
      <c r="M99" s="23">
        <f t="shared" si="11"/>
        <v>2.2723033667674647E-3</v>
      </c>
      <c r="N99" s="23">
        <f>SUMPRODUCT(H99:K99,Portfolio!$B$23:$E$23)</f>
        <v>4.7433882057318046E-5</v>
      </c>
      <c r="O99" s="23">
        <f>SUMPRODUCT(H99:K99,Portfolio!$B$24:$E$24)</f>
        <v>1.9228305689684944E-3</v>
      </c>
      <c r="Q99" s="21">
        <f t="shared" si="12"/>
        <v>127.14988397680717</v>
      </c>
      <c r="R99" s="21">
        <f t="shared" si="13"/>
        <v>132.64991593498965</v>
      </c>
      <c r="S99" s="22">
        <f>Q99/MAX(Q$6:Q99)-1</f>
        <v>-2.1635423517271879E-2</v>
      </c>
      <c r="T99" s="22">
        <f>R99/MAX(R$6:R99)-1</f>
        <v>-1.1347418984301694E-2</v>
      </c>
    </row>
    <row r="100" spans="1:20" x14ac:dyDescent="0.2">
      <c r="A100" s="18">
        <v>43322</v>
      </c>
      <c r="B100" s="19">
        <v>313.12</v>
      </c>
      <c r="C100" s="19">
        <v>110.09</v>
      </c>
      <c r="D100" s="19">
        <v>46.08</v>
      </c>
      <c r="E100" s="19">
        <v>2.8</v>
      </c>
      <c r="F100" s="20">
        <v>2833.3</v>
      </c>
      <c r="H100" s="23">
        <f t="shared" si="7"/>
        <v>-2.3178911246295453E-2</v>
      </c>
      <c r="I100" s="23">
        <f t="shared" si="8"/>
        <v>-2.4370790499822714E-2</v>
      </c>
      <c r="J100" s="23">
        <f t="shared" si="9"/>
        <v>-1.158301158301156E-2</v>
      </c>
      <c r="K100" s="23">
        <f>E99/100/Inputs!$B$17-'Valuation and Bond'!$B$44*(E100-E99)/100+0.5*'Valuation and Bond'!$B$45*((E100-E99)/100)^2</f>
        <v>2.7389871417302673E-3</v>
      </c>
      <c r="L100" s="23">
        <f t="shared" si="10"/>
        <v>-2.464528394887866E-3</v>
      </c>
      <c r="M100" s="23">
        <f t="shared" si="11"/>
        <v>-1.447503558599599E-2</v>
      </c>
      <c r="N100" s="23">
        <f>SUMPRODUCT(H100:K100,Portfolio!$B$23:$E$23)</f>
        <v>-1.4098431546849866E-2</v>
      </c>
      <c r="O100" s="23">
        <f>SUMPRODUCT(H100:K100,Portfolio!$B$24:$E$24)</f>
        <v>-9.0420254882979199E-3</v>
      </c>
      <c r="Q100" s="21">
        <f t="shared" si="12"/>
        <v>125.30938488148763</v>
      </c>
      <c r="R100" s="21">
        <f t="shared" si="13"/>
        <v>132.32299645058839</v>
      </c>
      <c r="S100" s="22">
        <f>Q100/MAX(Q$6:Q100)-1</f>
        <v>-3.5797285577937266E-2</v>
      </c>
      <c r="T100" s="22">
        <f>R100/MAX(R$6:R100)-1</f>
        <v>-1.3783981342893936E-2</v>
      </c>
    </row>
    <row r="101" spans="1:20" x14ac:dyDescent="0.2">
      <c r="A101" s="18">
        <v>43329</v>
      </c>
      <c r="B101" s="19">
        <v>325.23</v>
      </c>
      <c r="C101" s="19">
        <v>109.64</v>
      </c>
      <c r="D101" s="19">
        <v>46.6</v>
      </c>
      <c r="E101" s="19">
        <v>2.75</v>
      </c>
      <c r="F101" s="20">
        <v>2850.1</v>
      </c>
      <c r="H101" s="23">
        <f t="shared" si="7"/>
        <v>3.8675268267756913E-2</v>
      </c>
      <c r="I101" s="23">
        <f t="shared" si="8"/>
        <v>-4.0875647197747833E-3</v>
      </c>
      <c r="J101" s="23">
        <f t="shared" si="9"/>
        <v>1.1284722222222321E-2</v>
      </c>
      <c r="K101" s="23">
        <f>E100/100/Inputs!$B$17-'Valuation and Bond'!$B$44*(E101-E100)/100+0.5*'Valuation and Bond'!$B$45*((E101-E100)/100)^2</f>
        <v>2.7293717571148634E-3</v>
      </c>
      <c r="L101" s="23">
        <f t="shared" si="10"/>
        <v>5.9294815233119635E-3</v>
      </c>
      <c r="M101" s="23">
        <f t="shared" si="11"/>
        <v>8.1300447893751186E-3</v>
      </c>
      <c r="N101" s="23">
        <f>SUMPRODUCT(H101:K101,Portfolio!$B$23:$E$23)</f>
        <v>1.2150449381829829E-2</v>
      </c>
      <c r="O101" s="23">
        <f>SUMPRODUCT(H101:K101,Portfolio!$B$24:$E$24)</f>
        <v>9.3579326303283288E-3</v>
      </c>
      <c r="Q101" s="21">
        <f t="shared" si="12"/>
        <v>126.32815579310316</v>
      </c>
      <c r="R101" s="21">
        <f t="shared" si="13"/>
        <v>133.10760321315144</v>
      </c>
      <c r="S101" s="22">
        <f>Q101/MAX(Q$6:Q101)-1</f>
        <v>-2.7958274323648835E-2</v>
      </c>
      <c r="T101" s="22">
        <f>R101/MAX(R$6:R101)-1</f>
        <v>-7.93623168227231E-3</v>
      </c>
    </row>
    <row r="102" spans="1:20" x14ac:dyDescent="0.2">
      <c r="A102" s="18">
        <v>43336</v>
      </c>
      <c r="B102" s="19">
        <v>321.29000000000002</v>
      </c>
      <c r="C102" s="19">
        <v>113.64</v>
      </c>
      <c r="D102" s="19">
        <v>45.63</v>
      </c>
      <c r="E102" s="19">
        <v>2.71</v>
      </c>
      <c r="F102" s="20">
        <v>2874.7</v>
      </c>
      <c r="H102" s="23">
        <f t="shared" si="7"/>
        <v>-1.2114503582080327E-2</v>
      </c>
      <c r="I102" s="23">
        <f t="shared" si="8"/>
        <v>3.648303538854436E-2</v>
      </c>
      <c r="J102" s="23">
        <f t="shared" si="9"/>
        <v>-2.0815450643776767E-2</v>
      </c>
      <c r="K102" s="23">
        <f>E101/100/Inputs!$B$17-'Valuation and Bond'!$B$44*(E102-E101)/100+0.5*'Valuation and Bond'!$B$45*((E102-E101)/100)^2</f>
        <v>2.2811220738435654E-3</v>
      </c>
      <c r="L102" s="23">
        <f t="shared" si="10"/>
        <v>8.6312760955755685E-3</v>
      </c>
      <c r="M102" s="23">
        <f t="shared" si="11"/>
        <v>3.8652397760880509E-3</v>
      </c>
      <c r="N102" s="23">
        <f>SUMPRODUCT(H102:K102,Portfolio!$B$23:$E$23)</f>
        <v>1.4585508091327077E-3</v>
      </c>
      <c r="O102" s="23">
        <f>SUMPRODUCT(H102:K102,Portfolio!$B$24:$E$24)</f>
        <v>-2.8689499297966455E-3</v>
      </c>
      <c r="Q102" s="21">
        <f t="shared" si="12"/>
        <v>126.81644440571452</v>
      </c>
      <c r="R102" s="21">
        <f t="shared" si="13"/>
        <v>134.25649168690447</v>
      </c>
      <c r="S102" s="22">
        <f>Q102/MAX(Q$6:Q102)-1</f>
        <v>-2.4201099981547292E-2</v>
      </c>
      <c r="T102" s="22">
        <f>R102/MAX(R$6:R102)-1</f>
        <v>0</v>
      </c>
    </row>
    <row r="103" spans="1:20" x14ac:dyDescent="0.2">
      <c r="A103" s="18">
        <v>43343</v>
      </c>
      <c r="B103" s="19">
        <v>320.41000000000003</v>
      </c>
      <c r="C103" s="19">
        <v>112.4</v>
      </c>
      <c r="D103" s="19">
        <v>44.57</v>
      </c>
      <c r="E103" s="19">
        <v>2.76</v>
      </c>
      <c r="F103" s="20">
        <v>2901.5</v>
      </c>
      <c r="H103" s="23">
        <f t="shared" si="7"/>
        <v>-2.7389585732515709E-3</v>
      </c>
      <c r="I103" s="23">
        <f t="shared" si="8"/>
        <v>-1.0911650827173491E-2</v>
      </c>
      <c r="J103" s="23">
        <f t="shared" si="9"/>
        <v>-2.3230330922638709E-2</v>
      </c>
      <c r="K103" s="23">
        <f>E102/100/Inputs!$B$17-'Valuation and Bond'!$B$44*(E103-E102)/100+0.5*'Valuation and Bond'!$B$45*((E103-E102)/100)^2</f>
        <v>-1.6641031859337826E-3</v>
      </c>
      <c r="L103" s="23">
        <f t="shared" si="10"/>
        <v>9.3227119351584342E-3</v>
      </c>
      <c r="M103" s="23">
        <f t="shared" si="11"/>
        <v>-1.2136814107500407E-2</v>
      </c>
      <c r="N103" s="23">
        <f>SUMPRODUCT(H103:K103,Portfolio!$B$23:$E$23)</f>
        <v>-9.6362608772493884E-3</v>
      </c>
      <c r="O103" s="23">
        <f>SUMPRODUCT(H103:K103,Portfolio!$B$24:$E$24)</f>
        <v>-1.0331508687481141E-2</v>
      </c>
      <c r="Q103" s="21">
        <f t="shared" si="12"/>
        <v>125.2772967941882</v>
      </c>
      <c r="R103" s="21">
        <f t="shared" si="13"/>
        <v>135.50812628432647</v>
      </c>
      <c r="S103" s="22">
        <f>Q103/MAX(Q$6:Q103)-1</f>
        <v>-3.6044189837374563E-2</v>
      </c>
      <c r="T103" s="22">
        <f>R103/MAX(R$6:R103)-1</f>
        <v>0</v>
      </c>
    </row>
    <row r="104" spans="1:20" x14ac:dyDescent="0.2">
      <c r="A104" s="18">
        <v>43350</v>
      </c>
      <c r="B104" s="19">
        <v>328.53</v>
      </c>
      <c r="C104" s="19">
        <v>108.46</v>
      </c>
      <c r="D104" s="19">
        <v>45.72</v>
      </c>
      <c r="E104" s="19">
        <v>2.78</v>
      </c>
      <c r="F104" s="20">
        <v>2871.7</v>
      </c>
      <c r="H104" s="23">
        <f t="shared" si="7"/>
        <v>2.534252988358654E-2</v>
      </c>
      <c r="I104" s="23">
        <f t="shared" si="8"/>
        <v>-3.5053380782918309E-2</v>
      </c>
      <c r="J104" s="23">
        <f t="shared" si="9"/>
        <v>2.5802109041956456E-2</v>
      </c>
      <c r="K104" s="23">
        <f>E103/100/Inputs!$B$17-'Valuation and Bond'!$B$44*(E104-E103)/100+0.5*'Valuation and Bond'!$B$45*((E104-E103)/100)^2</f>
        <v>-3.4401196445370816E-4</v>
      </c>
      <c r="L104" s="23">
        <f t="shared" si="10"/>
        <v>-1.0270549715664323E-2</v>
      </c>
      <c r="M104" s="23">
        <f t="shared" si="11"/>
        <v>4.2967895998173643E-4</v>
      </c>
      <c r="N104" s="23">
        <f>SUMPRODUCT(H104:K104,Portfolio!$B$23:$E$23)</f>
        <v>3.9368115445427444E-3</v>
      </c>
      <c r="O104" s="23">
        <f>SUMPRODUCT(H104:K104,Portfolio!$B$24:$E$24)</f>
        <v>7.2271540330650884E-3</v>
      </c>
      <c r="Q104" s="21">
        <f t="shared" si="12"/>
        <v>125.33112581278407</v>
      </c>
      <c r="R104" s="21">
        <f t="shared" si="13"/>
        <v>134.11638333644677</v>
      </c>
      <c r="S104" s="22">
        <f>Q104/MAX(Q$6:Q104)-1</f>
        <v>-3.5629998307395438E-2</v>
      </c>
      <c r="T104" s="22">
        <f>R104/MAX(R$6:R104)-1</f>
        <v>-1.0270549715664323E-2</v>
      </c>
    </row>
    <row r="105" spans="1:20" x14ac:dyDescent="0.2">
      <c r="A105" s="18">
        <v>43357</v>
      </c>
      <c r="B105" s="19">
        <v>335.8</v>
      </c>
      <c r="C105" s="19">
        <v>105.36</v>
      </c>
      <c r="D105" s="19">
        <v>45.99</v>
      </c>
      <c r="E105" s="19">
        <v>2.87</v>
      </c>
      <c r="F105" s="20">
        <v>2905</v>
      </c>
      <c r="H105" s="23">
        <f t="shared" si="7"/>
        <v>2.2128877119289125E-2</v>
      </c>
      <c r="I105" s="23">
        <f t="shared" si="8"/>
        <v>-2.8581965701641066E-2</v>
      </c>
      <c r="J105" s="23">
        <f t="shared" si="9"/>
        <v>5.9055118110236116E-3</v>
      </c>
      <c r="K105" s="23">
        <f>E104/100/Inputs!$B$17-'Valuation and Bond'!$B$44*(E105-E104)/100+0.5*'Valuation and Bond'!$B$45*((E105-E104)/100)^2</f>
        <v>-3.3947769788150724E-3</v>
      </c>
      <c r="L105" s="23">
        <f t="shared" si="10"/>
        <v>1.1595918793745996E-2</v>
      </c>
      <c r="M105" s="23">
        <f t="shared" si="11"/>
        <v>-5.1858176227782878E-3</v>
      </c>
      <c r="N105" s="23">
        <f>SUMPRODUCT(H105:K105,Portfolio!$B$23:$E$23)</f>
        <v>-9.8558843753585035E-4</v>
      </c>
      <c r="O105" s="23">
        <f>SUMPRODUCT(H105:K105,Portfolio!$B$24:$E$24)</f>
        <v>-2.8955393935324071E-4</v>
      </c>
      <c r="Q105" s="21">
        <f t="shared" si="12"/>
        <v>124.68118145186149</v>
      </c>
      <c r="R105" s="21">
        <f t="shared" si="13"/>
        <v>135.67158602652711</v>
      </c>
      <c r="S105" s="22">
        <f>Q105/MAX(Q$6:Q105)-1</f>
        <v>-4.0631045257051746E-2</v>
      </c>
      <c r="T105" s="22">
        <f>R105/MAX(R$6:R105)-1</f>
        <v>0</v>
      </c>
    </row>
    <row r="106" spans="1:20" x14ac:dyDescent="0.2">
      <c r="A106" s="18">
        <v>43364</v>
      </c>
      <c r="B106" s="19">
        <v>337.66</v>
      </c>
      <c r="C106" s="19">
        <v>110.05</v>
      </c>
      <c r="D106" s="19">
        <v>46.58</v>
      </c>
      <c r="E106" s="19">
        <v>2.94</v>
      </c>
      <c r="F106" s="20">
        <v>2929.7</v>
      </c>
      <c r="H106" s="23">
        <f t="shared" si="7"/>
        <v>5.5390113162596677E-3</v>
      </c>
      <c r="I106" s="23">
        <f t="shared" si="8"/>
        <v>4.4514047076689378E-2</v>
      </c>
      <c r="J106" s="23">
        <f t="shared" si="9"/>
        <v>1.2828875842574305E-2</v>
      </c>
      <c r="K106" s="23">
        <f>E105/100/Inputs!$B$17-'Valuation and Bond'!$B$44*(E106-E105)/100+0.5*'Valuation and Bond'!$B$45*((E106-E105)/100)^2</f>
        <v>-2.505853875761212E-3</v>
      </c>
      <c r="L106" s="23">
        <f t="shared" si="10"/>
        <v>8.5025817555937078E-3</v>
      </c>
      <c r="M106" s="23">
        <f t="shared" si="11"/>
        <v>1.9252129356428487E-2</v>
      </c>
      <c r="N106" s="23">
        <f>SUMPRODUCT(H106:K106,Portfolio!$B$23:$E$23)</f>
        <v>1.5094020089940536E-2</v>
      </c>
      <c r="O106" s="23">
        <f>SUMPRODUCT(H106:K106,Portfolio!$B$24:$E$24)</f>
        <v>9.9504370891949755E-3</v>
      </c>
      <c r="Q106" s="21">
        <f t="shared" si="12"/>
        <v>127.08155968548506</v>
      </c>
      <c r="R106" s="21">
        <f t="shared" si="13"/>
        <v>136.82514477862873</v>
      </c>
      <c r="S106" s="22">
        <f>Q106/MAX(Q$6:Q106)-1</f>
        <v>-2.2161150039798905E-2</v>
      </c>
      <c r="T106" s="22">
        <f>R106/MAX(R$6:R106)-1</f>
        <v>0</v>
      </c>
    </row>
    <row r="107" spans="1:20" x14ac:dyDescent="0.2">
      <c r="A107" s="18">
        <v>43371</v>
      </c>
      <c r="B107" s="19">
        <v>345.96</v>
      </c>
      <c r="C107" s="19">
        <v>107.29</v>
      </c>
      <c r="D107" s="19">
        <v>46.19</v>
      </c>
      <c r="E107" s="19">
        <v>2.96</v>
      </c>
      <c r="F107" s="20">
        <v>2914</v>
      </c>
      <c r="H107" s="23">
        <f t="shared" si="7"/>
        <v>2.4580939406503521E-2</v>
      </c>
      <c r="I107" s="23">
        <f t="shared" si="8"/>
        <v>-2.507950931394809E-2</v>
      </c>
      <c r="J107" s="23">
        <f t="shared" si="9"/>
        <v>-8.3726921425504308E-3</v>
      </c>
      <c r="K107" s="23">
        <f>E106/100/Inputs!$B$17-'Valuation and Bond'!$B$44*(E107-E106)/100+0.5*'Valuation and Bond'!$B$45*((E107-E106)/100)^2</f>
        <v>-3.0939657983832349E-4</v>
      </c>
      <c r="L107" s="23">
        <f t="shared" si="10"/>
        <v>-5.3589104686485589E-3</v>
      </c>
      <c r="M107" s="23">
        <f t="shared" si="11"/>
        <v>-7.9069265163195894E-3</v>
      </c>
      <c r="N107" s="23">
        <f>SUMPRODUCT(H107:K107,Portfolio!$B$23:$E$23)</f>
        <v>-2.2951646574583305E-3</v>
      </c>
      <c r="O107" s="23">
        <f>SUMPRODUCT(H107:K107,Portfolio!$B$24:$E$24)</f>
        <v>-3.1116334042855837E-3</v>
      </c>
      <c r="Q107" s="21">
        <f t="shared" si="12"/>
        <v>126.07673513147265</v>
      </c>
      <c r="R107" s="21">
        <f t="shared" si="13"/>
        <v>136.09191107790016</v>
      </c>
      <c r="S107" s="22">
        <f>Q107/MAX(Q$6:Q107)-1</f>
        <v>-2.9892849971236646E-2</v>
      </c>
      <c r="T107" s="22">
        <f>R107/MAX(R$6:R107)-1</f>
        <v>-5.3589104686486699E-3</v>
      </c>
    </row>
    <row r="108" spans="1:20" x14ac:dyDescent="0.2">
      <c r="A108" s="18">
        <v>43378</v>
      </c>
      <c r="B108" s="19">
        <v>347.21</v>
      </c>
      <c r="C108" s="19">
        <v>103.28</v>
      </c>
      <c r="D108" s="19">
        <v>45.88</v>
      </c>
      <c r="E108" s="19">
        <v>3.01</v>
      </c>
      <c r="F108" s="20">
        <v>2885.6</v>
      </c>
      <c r="H108" s="23">
        <f t="shared" si="7"/>
        <v>3.6131344664123155E-3</v>
      </c>
      <c r="I108" s="23">
        <f t="shared" si="8"/>
        <v>-3.737533786932612E-2</v>
      </c>
      <c r="J108" s="23">
        <f t="shared" si="9"/>
        <v>-6.7114093959730337E-3</v>
      </c>
      <c r="K108" s="23">
        <f>E107/100/Inputs!$B$17-'Valuation and Bond'!$B$44*(E108-E107)/100+0.5*'Valuation and Bond'!$B$45*((E108-E107)/100)^2</f>
        <v>-1.6160262628568593E-3</v>
      </c>
      <c r="L108" s="23">
        <f t="shared" si="10"/>
        <v>-9.7460535346602928E-3</v>
      </c>
      <c r="M108" s="23">
        <f t="shared" si="11"/>
        <v>-1.4443427103790259E-2</v>
      </c>
      <c r="N108" s="23">
        <f>SUMPRODUCT(H108:K108,Portfolio!$B$23:$E$23)</f>
        <v>-1.0522409765435925E-2</v>
      </c>
      <c r="O108" s="23">
        <f>SUMPRODUCT(H108:K108,Portfolio!$B$24:$E$24)</f>
        <v>-7.4023265687370408E-3</v>
      </c>
      <c r="Q108" s="21">
        <f t="shared" si="12"/>
        <v>124.25575499811735</v>
      </c>
      <c r="R108" s="21">
        <f t="shared" si="13"/>
        <v>134.76555202690071</v>
      </c>
      <c r="S108" s="22">
        <f>Q108/MAX(Q$6:Q108)-1</f>
        <v>-4.3904521875542724E-2</v>
      </c>
      <c r="T108" s="22">
        <f>R108/MAX(R$6:R108)-1</f>
        <v>-1.5052735774994108E-2</v>
      </c>
    </row>
    <row r="109" spans="1:20" x14ac:dyDescent="0.2">
      <c r="A109" s="18">
        <v>43385</v>
      </c>
      <c r="B109" s="19">
        <v>327.62</v>
      </c>
      <c r="C109" s="19">
        <v>101.09</v>
      </c>
      <c r="D109" s="19">
        <v>44.68</v>
      </c>
      <c r="E109" s="19">
        <v>3.03</v>
      </c>
      <c r="F109" s="20">
        <v>2767.1</v>
      </c>
      <c r="H109" s="23">
        <f t="shared" si="7"/>
        <v>-5.6421186025748082E-2</v>
      </c>
      <c r="I109" s="23">
        <f t="shared" si="8"/>
        <v>-2.120449264136326E-2</v>
      </c>
      <c r="J109" s="23">
        <f t="shared" si="9"/>
        <v>-2.6155187445510042E-2</v>
      </c>
      <c r="K109" s="23">
        <f>E108/100/Inputs!$B$17-'Valuation and Bond'!$B$44*(E109-E108)/100+0.5*'Valuation and Bond'!$B$45*((E109-E108)/100)^2</f>
        <v>-2.9593504137678502E-4</v>
      </c>
      <c r="L109" s="23">
        <f t="shared" si="10"/>
        <v>-4.1065982811200441E-2</v>
      </c>
      <c r="M109" s="23">
        <f t="shared" si="11"/>
        <v>-2.3359852491196497E-2</v>
      </c>
      <c r="N109" s="23">
        <f>SUMPRODUCT(H109:K109,Portfolio!$B$23:$E$23)</f>
        <v>-2.6019200288499543E-2</v>
      </c>
      <c r="O109" s="23">
        <f>SUMPRODUCT(H109:K109,Portfolio!$B$24:$E$24)</f>
        <v>-1.9057301708780384E-2</v>
      </c>
      <c r="Q109" s="21">
        <f t="shared" si="12"/>
        <v>121.35315889017907</v>
      </c>
      <c r="R109" s="21">
        <f t="shared" si="13"/>
        <v>129.23127218382206</v>
      </c>
      <c r="S109" s="22">
        <f>Q109/MAX(Q$6:Q109)-1</f>
        <v>-6.6238771212030145E-2</v>
      </c>
      <c r="T109" s="22">
        <f>R109/MAX(R$6:R109)-1</f>
        <v>-5.5500563197597219E-2</v>
      </c>
    </row>
    <row r="110" spans="1:20" x14ac:dyDescent="0.2">
      <c r="A110" s="18">
        <v>43392</v>
      </c>
      <c r="B110" s="19">
        <v>328.14</v>
      </c>
      <c r="C110" s="19">
        <v>98.26</v>
      </c>
      <c r="D110" s="19">
        <v>46.33</v>
      </c>
      <c r="E110" s="19">
        <v>3.03</v>
      </c>
      <c r="F110" s="20">
        <v>2767.8</v>
      </c>
      <c r="H110" s="23">
        <f t="shared" si="7"/>
        <v>1.58720468835849E-3</v>
      </c>
      <c r="I110" s="23">
        <f t="shared" si="8"/>
        <v>-2.799485606884955E-2</v>
      </c>
      <c r="J110" s="23">
        <f t="shared" si="9"/>
        <v>3.6929274843330306E-2</v>
      </c>
      <c r="K110" s="23">
        <f>E109/100/Inputs!$B$17-'Valuation and Bond'!$B$44*(E110-E109)/100+0.5*'Valuation and Bond'!$B$45*((E110-E109)/100)^2</f>
        <v>5.8269230769230761E-4</v>
      </c>
      <c r="L110" s="23">
        <f t="shared" si="10"/>
        <v>2.5297242600563763E-4</v>
      </c>
      <c r="M110" s="23">
        <f t="shared" si="11"/>
        <v>3.552170839649588E-3</v>
      </c>
      <c r="N110" s="23">
        <f>SUMPRODUCT(H110:K110,Portfolio!$B$23:$E$23)</f>
        <v>2.7760789426328888E-3</v>
      </c>
      <c r="O110" s="23">
        <f>SUMPRODUCT(H110:K110,Portfolio!$B$24:$E$24)</f>
        <v>9.2390940533266259E-3</v>
      </c>
      <c r="Q110" s="21">
        <f t="shared" si="12"/>
        <v>121.78422604248813</v>
      </c>
      <c r="R110" s="21">
        <f t="shared" si="13"/>
        <v>129.2639641322622</v>
      </c>
      <c r="S110" s="22">
        <f>Q110/MAX(Q$6:Q110)-1</f>
        <v>-6.2921891803934149E-2</v>
      </c>
      <c r="T110" s="22">
        <f>R110/MAX(R$6:R110)-1</f>
        <v>-5.5261630883708279E-2</v>
      </c>
    </row>
    <row r="111" spans="1:20" x14ac:dyDescent="0.2">
      <c r="A111" s="18">
        <v>43399</v>
      </c>
      <c r="B111" s="19">
        <v>305.05</v>
      </c>
      <c r="C111" s="19">
        <v>90.56</v>
      </c>
      <c r="D111" s="19">
        <v>45.92</v>
      </c>
      <c r="E111" s="19">
        <v>2.98</v>
      </c>
      <c r="F111" s="20">
        <v>2658.7</v>
      </c>
      <c r="H111" s="23">
        <f t="shared" si="7"/>
        <v>-7.0366307064057998E-2</v>
      </c>
      <c r="I111" s="23">
        <f t="shared" si="8"/>
        <v>-7.8363525340932272E-2</v>
      </c>
      <c r="J111" s="23">
        <f t="shared" si="9"/>
        <v>-8.8495575221237965E-3</v>
      </c>
      <c r="K111" s="23">
        <f>E110/100/Inputs!$B$17-'Valuation and Bond'!$B$44*(E111-E110)/100+0.5*'Valuation and Bond'!$B$45*((E111-E110)/100)^2</f>
        <v>2.7736025263456325E-3</v>
      </c>
      <c r="L111" s="23">
        <f t="shared" si="10"/>
        <v>-3.9417587976009916E-2</v>
      </c>
      <c r="M111" s="23">
        <f t="shared" si="11"/>
        <v>-3.7615504206942992E-2</v>
      </c>
      <c r="N111" s="23">
        <f>SUMPRODUCT(H111:K111,Portfolio!$B$23:$E$23)</f>
        <v>-3.8701446850192112E-2</v>
      </c>
      <c r="O111" s="23">
        <f>SUMPRODUCT(H111:K111,Portfolio!$B$24:$E$24)</f>
        <v>-2.1333451857901583E-2</v>
      </c>
      <c r="Q111" s="21">
        <f t="shared" si="12"/>
        <v>117.20325097544762</v>
      </c>
      <c r="R111" s="21">
        <f t="shared" si="13"/>
        <v>124.16869045395097</v>
      </c>
      <c r="S111" s="22">
        <f>Q111/MAX(Q$6:Q111)-1</f>
        <v>-9.8170557325017449E-2</v>
      </c>
      <c r="T111" s="22">
        <f>R111/MAX(R$6:R111)-1</f>
        <v>-9.2500938662661736E-2</v>
      </c>
    </row>
    <row r="112" spans="1:20" x14ac:dyDescent="0.2">
      <c r="A112" s="18">
        <v>43406</v>
      </c>
      <c r="B112" s="19">
        <v>299.27999999999997</v>
      </c>
      <c r="C112" s="19">
        <v>95.06</v>
      </c>
      <c r="D112" s="19">
        <v>48</v>
      </c>
      <c r="E112" s="19">
        <v>2.97</v>
      </c>
      <c r="F112" s="20">
        <v>2723.1</v>
      </c>
      <c r="H112" s="23">
        <f t="shared" si="7"/>
        <v>-1.8914931978364358E-2</v>
      </c>
      <c r="I112" s="23">
        <f t="shared" si="8"/>
        <v>4.9690812720847966E-2</v>
      </c>
      <c r="J112" s="23">
        <f t="shared" si="9"/>
        <v>4.5296167247386832E-2</v>
      </c>
      <c r="K112" s="23">
        <f>E111/100/Inputs!$B$17-'Valuation and Bond'!$B$44*(E112-E111)/100+0.5*'Valuation and Bond'!$B$45*((E112-E111)/100)^2</f>
        <v>1.0108067118823247E-3</v>
      </c>
      <c r="L112" s="23">
        <f t="shared" si="10"/>
        <v>2.4222364313386313E-2</v>
      </c>
      <c r="M112" s="23">
        <f t="shared" si="11"/>
        <v>2.9381357499116072E-2</v>
      </c>
      <c r="N112" s="23">
        <f>SUMPRODUCT(H112:K112,Portfolio!$B$23:$E$23)</f>
        <v>1.927071367543819E-2</v>
      </c>
      <c r="O112" s="23">
        <f>SUMPRODUCT(H112:K112,Portfolio!$B$24:$E$24)</f>
        <v>1.9887063403671957E-2</v>
      </c>
      <c r="Q112" s="21">
        <f t="shared" si="12"/>
        <v>120.64684159241585</v>
      </c>
      <c r="R112" s="21">
        <f t="shared" si="13"/>
        <v>127.17634971044266</v>
      </c>
      <c r="S112" s="22">
        <f>Q112/MAX(Q$6:Q112)-1</f>
        <v>-7.1673584066555329E-2</v>
      </c>
      <c r="T112" s="22">
        <f>R112/MAX(R$6:R112)-1</f>
        <v>-7.0519165784892701E-2</v>
      </c>
    </row>
    <row r="113" spans="1:20" x14ac:dyDescent="0.2">
      <c r="A113" s="18">
        <v>43413</v>
      </c>
      <c r="B113" s="19">
        <v>313.12</v>
      </c>
      <c r="C113" s="19">
        <v>96.1</v>
      </c>
      <c r="D113" s="19">
        <v>49.68</v>
      </c>
      <c r="E113" s="19">
        <v>3.06</v>
      </c>
      <c r="F113" s="20">
        <v>2781</v>
      </c>
      <c r="H113" s="23">
        <f t="shared" si="7"/>
        <v>4.6244319700614822E-2</v>
      </c>
      <c r="I113" s="23">
        <f t="shared" si="8"/>
        <v>1.0940458657689778E-2</v>
      </c>
      <c r="J113" s="23">
        <f t="shared" si="9"/>
        <v>3.499999999999992E-2</v>
      </c>
      <c r="K113" s="23">
        <f>E112/100/Inputs!$B$17-'Valuation and Bond'!$B$44*(E113-E112)/100+0.5*'Valuation and Bond'!$B$45*((E113-E112)/100)^2</f>
        <v>-3.3582385172765917E-3</v>
      </c>
      <c r="L113" s="23">
        <f t="shared" si="10"/>
        <v>2.1262531673460483E-2</v>
      </c>
      <c r="M113" s="23">
        <f t="shared" si="11"/>
        <v>2.0878576013913748E-2</v>
      </c>
      <c r="N113" s="23">
        <f>SUMPRODUCT(H113:K113,Portfolio!$B$23:$E$23)</f>
        <v>2.2206634960256981E-2</v>
      </c>
      <c r="O113" s="23">
        <f>SUMPRODUCT(H113:K113,Portfolio!$B$24:$E$24)</f>
        <v>1.7920614128776713E-2</v>
      </c>
      <c r="Q113" s="21">
        <f t="shared" si="12"/>
        <v>123.16577584544173</v>
      </c>
      <c r="R113" s="21">
        <f t="shared" si="13"/>
        <v>129.88044087427605</v>
      </c>
      <c r="S113" s="22">
        <f>Q113/MAX(Q$6:Q113)-1</f>
        <v>-5.2291450425764663E-2</v>
      </c>
      <c r="T113" s="22">
        <f>R113/MAX(R$6:R113)-1</f>
        <v>-5.0756050107519379E-2</v>
      </c>
    </row>
    <row r="114" spans="1:20" x14ac:dyDescent="0.2">
      <c r="A114" s="18">
        <v>43420</v>
      </c>
      <c r="B114" s="19">
        <v>301.24</v>
      </c>
      <c r="C114" s="19">
        <v>97.85</v>
      </c>
      <c r="D114" s="19">
        <v>50.17</v>
      </c>
      <c r="E114" s="19">
        <v>2.95</v>
      </c>
      <c r="F114" s="20">
        <v>2736.3</v>
      </c>
      <c r="H114" s="23">
        <f t="shared" si="7"/>
        <v>-3.7940725600408731E-2</v>
      </c>
      <c r="I114" s="23">
        <f t="shared" si="8"/>
        <v>1.8210197710718079E-2</v>
      </c>
      <c r="J114" s="23">
        <f t="shared" si="9"/>
        <v>9.8631239935587089E-3</v>
      </c>
      <c r="K114" s="23">
        <f>E113/100/Inputs!$B$17-'Valuation and Bond'!$B$44*(E114-E113)/100+0.5*'Valuation and Bond'!$B$45*((E114-E113)/100)^2</f>
        <v>5.415926225765583E-3</v>
      </c>
      <c r="L114" s="23">
        <f t="shared" si="10"/>
        <v>-1.6073354908306303E-2</v>
      </c>
      <c r="M114" s="23">
        <f t="shared" si="11"/>
        <v>5.3942086954619911E-3</v>
      </c>
      <c r="N114" s="23">
        <f>SUMPRODUCT(H114:K114,Portfolio!$B$23:$E$23)</f>
        <v>-1.1128694175915901E-3</v>
      </c>
      <c r="O114" s="23">
        <f>SUMPRODUCT(H114:K114,Portfolio!$B$24:$E$24)</f>
        <v>3.027481233930956E-3</v>
      </c>
      <c r="Q114" s="21">
        <f t="shared" si="12"/>
        <v>123.83015774449052</v>
      </c>
      <c r="R114" s="21">
        <f t="shared" si="13"/>
        <v>127.79282645245651</v>
      </c>
      <c r="S114" s="22">
        <f>Q114/MAX(Q$6:Q114)-1</f>
        <v>-4.7179312726887801E-2</v>
      </c>
      <c r="T114" s="22">
        <f>R114/MAX(R$6:R114)-1</f>
        <v>-6.6013585008703801E-2</v>
      </c>
    </row>
    <row r="115" spans="1:20" x14ac:dyDescent="0.2">
      <c r="A115" s="18">
        <v>43427</v>
      </c>
      <c r="B115" s="19">
        <v>295.38</v>
      </c>
      <c r="C115" s="19">
        <v>95.1</v>
      </c>
      <c r="D115" s="19">
        <v>49.02</v>
      </c>
      <c r="E115" s="19">
        <v>2.88</v>
      </c>
      <c r="F115" s="20">
        <v>2632.6</v>
      </c>
      <c r="H115" s="23">
        <f t="shared" si="7"/>
        <v>-1.9452927898021555E-2</v>
      </c>
      <c r="I115" s="23">
        <f t="shared" si="8"/>
        <v>-2.8104241185488044E-2</v>
      </c>
      <c r="J115" s="23">
        <f t="shared" si="9"/>
        <v>-2.2922064979071122E-2</v>
      </c>
      <c r="K115" s="23">
        <f>E114/100/Inputs!$B$17-'Valuation and Bond'!$B$44*(E115-E114)/100+0.5*'Valuation and Bond'!$B$45*((E115-E114)/100)^2</f>
        <v>3.6361648906607655E-3</v>
      </c>
      <c r="L115" s="23">
        <f t="shared" si="10"/>
        <v>-3.7897891313087073E-2</v>
      </c>
      <c r="M115" s="23">
        <f t="shared" si="11"/>
        <v>-1.8860876490003262E-2</v>
      </c>
      <c r="N115" s="23">
        <f>SUMPRODUCT(H115:K115,Portfolio!$B$23:$E$23)</f>
        <v>-1.6710767292979989E-2</v>
      </c>
      <c r="O115" s="23">
        <f>SUMPRODUCT(H115:K115,Portfolio!$B$24:$E$24)</f>
        <v>-1.2537721391160678E-2</v>
      </c>
      <c r="Q115" s="21">
        <f t="shared" si="12"/>
        <v>121.49461243353407</v>
      </c>
      <c r="R115" s="21">
        <f t="shared" si="13"/>
        <v>122.94974780496911</v>
      </c>
      <c r="S115" s="22">
        <f>Q115/MAX(Q$6:Q115)-1</f>
        <v>-6.5150346026665917E-2</v>
      </c>
      <c r="T115" s="22">
        <f>R115/MAX(R$6:R115)-1</f>
        <v>-0.10140970065194388</v>
      </c>
    </row>
    <row r="116" spans="1:20" x14ac:dyDescent="0.2">
      <c r="A116" s="18">
        <v>43434</v>
      </c>
      <c r="B116" s="19">
        <v>300.43</v>
      </c>
      <c r="C116" s="19">
        <v>99.85</v>
      </c>
      <c r="D116" s="19">
        <v>50.4</v>
      </c>
      <c r="E116" s="19">
        <v>2.87</v>
      </c>
      <c r="F116" s="20">
        <v>2760.2</v>
      </c>
      <c r="H116" s="23">
        <f t="shared" si="7"/>
        <v>1.709662130137457E-2</v>
      </c>
      <c r="I116" s="23">
        <f t="shared" si="8"/>
        <v>4.9947423764458376E-2</v>
      </c>
      <c r="J116" s="23">
        <f t="shared" si="9"/>
        <v>2.8151774785801553E-2</v>
      </c>
      <c r="K116" s="23">
        <f>E115/100/Inputs!$B$17-'Valuation and Bond'!$B$44*(E116-E115)/100+0.5*'Valuation and Bond'!$B$45*((E116-E115)/100)^2</f>
        <v>9.915759426515553E-4</v>
      </c>
      <c r="L116" s="23">
        <f t="shared" si="10"/>
        <v>4.8469193952746403E-2</v>
      </c>
      <c r="M116" s="23">
        <f t="shared" si="11"/>
        <v>2.8447491343441728E-2</v>
      </c>
      <c r="N116" s="23">
        <f>SUMPRODUCT(H116:K116,Portfolio!$B$23:$E$23)</f>
        <v>2.4046848948571512E-2</v>
      </c>
      <c r="O116" s="23">
        <f>SUMPRODUCT(H116:K116,Portfolio!$B$24:$E$24)</f>
        <v>1.8748429889173076E-2</v>
      </c>
      <c r="Q116" s="21">
        <f t="shared" si="12"/>
        <v>124.95082936901186</v>
      </c>
      <c r="R116" s="21">
        <f t="shared" si="13"/>
        <v>128.90902297776941</v>
      </c>
      <c r="S116" s="22">
        <f>Q116/MAX(Q$6:Q116)-1</f>
        <v>-3.8556218587839863E-2</v>
      </c>
      <c r="T116" s="22">
        <f>R116/MAX(R$6:R116)-1</f>
        <v>-5.7855753148786437E-2</v>
      </c>
    </row>
    <row r="117" spans="1:20" x14ac:dyDescent="0.2">
      <c r="A117" s="18">
        <v>43441</v>
      </c>
      <c r="B117" s="19">
        <v>285.39999999999998</v>
      </c>
      <c r="C117" s="19">
        <v>92.38</v>
      </c>
      <c r="D117" s="19">
        <v>49.09</v>
      </c>
      <c r="E117" s="19">
        <v>2.77</v>
      </c>
      <c r="F117" s="20">
        <v>2633.1</v>
      </c>
      <c r="H117" s="23">
        <f t="shared" si="7"/>
        <v>-5.002829278034826E-2</v>
      </c>
      <c r="I117" s="23">
        <f t="shared" si="8"/>
        <v>-7.4812218327491187E-2</v>
      </c>
      <c r="J117" s="23">
        <f t="shared" si="9"/>
        <v>-2.59920634920634E-2</v>
      </c>
      <c r="K117" s="23">
        <f>E116/100/Inputs!$B$17-'Valuation and Bond'!$B$44*(E117-E116)/100+0.5*'Valuation and Bond'!$B$45*((E117-E116)/100)^2</f>
        <v>4.9393967007954412E-3</v>
      </c>
      <c r="L117" s="23">
        <f t="shared" si="10"/>
        <v>-4.6047387870444156E-2</v>
      </c>
      <c r="M117" s="23">
        <f t="shared" si="11"/>
        <v>-3.9101222929880552E-2</v>
      </c>
      <c r="N117" s="23">
        <f>SUMPRODUCT(H117:K117,Portfolio!$B$23:$E$23)</f>
        <v>-3.6473294474776853E-2</v>
      </c>
      <c r="O117" s="23">
        <f>SUMPRODUCT(H117:K117,Portfolio!$B$24:$E$24)</f>
        <v>-2.3181537870390418E-2</v>
      </c>
      <c r="Q117" s="21">
        <f t="shared" si="12"/>
        <v>120.06509913458065</v>
      </c>
      <c r="R117" s="21">
        <f t="shared" si="13"/>
        <v>122.97309919671207</v>
      </c>
      <c r="S117" s="22">
        <f>Q117/MAX(Q$6:Q117)-1</f>
        <v>-7.6149846219384143E-2</v>
      </c>
      <c r="T117" s="22">
        <f>R117/MAX(R$6:R117)-1</f>
        <v>-0.10123903471345175</v>
      </c>
    </row>
    <row r="118" spans="1:20" x14ac:dyDescent="0.2">
      <c r="A118" s="18">
        <v>43448</v>
      </c>
      <c r="B118" s="19">
        <v>287.7</v>
      </c>
      <c r="C118" s="19">
        <v>94.26</v>
      </c>
      <c r="D118" s="19">
        <v>49.34</v>
      </c>
      <c r="E118" s="19">
        <v>2.74</v>
      </c>
      <c r="F118" s="20">
        <v>2599.9</v>
      </c>
      <c r="H118" s="23">
        <f t="shared" si="7"/>
        <v>8.0588647512263023E-3</v>
      </c>
      <c r="I118" s="23">
        <f t="shared" si="8"/>
        <v>2.0350725265209091E-2</v>
      </c>
      <c r="J118" s="23">
        <f t="shared" si="9"/>
        <v>5.0926869016092446E-3</v>
      </c>
      <c r="K118" s="23">
        <f>E117/100/Inputs!$B$17-'Valuation and Bond'!$B$44*(E118-E117)/100+0.5*'Valuation and Bond'!$B$45*((E118-E117)/100)^2</f>
        <v>1.8465600564964151E-3</v>
      </c>
      <c r="L118" s="23">
        <f t="shared" si="10"/>
        <v>-1.2608712164368874E-2</v>
      </c>
      <c r="M118" s="23">
        <f t="shared" si="11"/>
        <v>9.871632757648888E-3</v>
      </c>
      <c r="N118" s="23">
        <f>SUMPRODUCT(H118:K118,Portfolio!$B$23:$E$23)</f>
        <v>8.8372092436352634E-3</v>
      </c>
      <c r="O118" s="23">
        <f>SUMPRODUCT(H118:K118,Portfolio!$B$24:$E$24)</f>
        <v>6.1967407677203708E-3</v>
      </c>
      <c r="Q118" s="21">
        <f t="shared" si="12"/>
        <v>121.25033770024794</v>
      </c>
      <c r="R118" s="21">
        <f t="shared" si="13"/>
        <v>121.42256678498035</v>
      </c>
      <c r="S118" s="22">
        <f>Q118/MAX(Q$6:Q118)-1</f>
        <v>-6.7029936778164489E-2</v>
      </c>
      <c r="T118" s="22">
        <f>R118/MAX(R$6:R118)-1</f>
        <v>-0.11257125302932014</v>
      </c>
    </row>
    <row r="119" spans="1:20" x14ac:dyDescent="0.2">
      <c r="A119" s="18">
        <v>43455</v>
      </c>
      <c r="B119" s="19">
        <v>256.55</v>
      </c>
      <c r="C119" s="19">
        <v>90.41</v>
      </c>
      <c r="D119" s="19">
        <v>47.57</v>
      </c>
      <c r="E119" s="19">
        <v>2.65</v>
      </c>
      <c r="F119" s="20">
        <v>2416.6</v>
      </c>
      <c r="H119" s="23">
        <f t="shared" si="7"/>
        <v>-0.10827250608272498</v>
      </c>
      <c r="I119" s="23">
        <f t="shared" si="8"/>
        <v>-4.0844472734988369E-2</v>
      </c>
      <c r="J119" s="23">
        <f t="shared" si="9"/>
        <v>-3.587353060397247E-2</v>
      </c>
      <c r="K119" s="23">
        <f>E118/100/Inputs!$B$17-'Valuation and Bond'!$B$44*(E119-E118)/100+0.5*'Valuation and Bond'!$B$45*((E119-E118)/100)^2</f>
        <v>4.4746317648263895E-3</v>
      </c>
      <c r="L119" s="23">
        <f t="shared" si="10"/>
        <v>-7.0502711642755567E-2</v>
      </c>
      <c r="M119" s="23">
        <f t="shared" si="11"/>
        <v>-3.9037173284382651E-2</v>
      </c>
      <c r="N119" s="23">
        <f>SUMPRODUCT(H119:K119,Portfolio!$B$23:$E$23)</f>
        <v>-4.5128969414214862E-2</v>
      </c>
      <c r="O119" s="23">
        <f>SUMPRODUCT(H119:K119,Portfolio!$B$24:$E$24)</f>
        <v>-2.9724646333810629E-2</v>
      </c>
      <c r="Q119" s="21">
        <f t="shared" si="12"/>
        <v>116.51706725665345</v>
      </c>
      <c r="R119" s="21">
        <f t="shared" si="13"/>
        <v>112.86194657201565</v>
      </c>
      <c r="S119" s="22">
        <f>Q119/MAX(Q$6:Q119)-1</f>
        <v>-0.10345045080529669</v>
      </c>
      <c r="T119" s="22">
        <f>R119/MAX(R$6:R119)-1</f>
        <v>-0.1751373860804859</v>
      </c>
    </row>
    <row r="120" spans="1:20" x14ac:dyDescent="0.2">
      <c r="A120" s="18">
        <v>43462</v>
      </c>
      <c r="B120" s="19">
        <v>261.26</v>
      </c>
      <c r="C120" s="19">
        <v>93.81</v>
      </c>
      <c r="D120" s="19">
        <v>47.2</v>
      </c>
      <c r="E120" s="19">
        <v>2.6</v>
      </c>
      <c r="F120" s="20">
        <v>2485.6999999999998</v>
      </c>
      <c r="H120" s="23">
        <f t="shared" si="7"/>
        <v>1.8358994348080193E-2</v>
      </c>
      <c r="I120" s="23">
        <f t="shared" si="8"/>
        <v>3.7606459462449005E-2</v>
      </c>
      <c r="J120" s="23">
        <f t="shared" si="9"/>
        <v>-7.7780113516922045E-3</v>
      </c>
      <c r="K120" s="23">
        <f>E119/100/Inputs!$B$17-'Valuation and Bond'!$B$44*(E120-E119)/100+0.5*'Valuation and Bond'!$B$45*((E120-E119)/100)^2</f>
        <v>2.7005256032687098E-3</v>
      </c>
      <c r="L120" s="23">
        <f t="shared" si="10"/>
        <v>2.8593892245303287E-2</v>
      </c>
      <c r="M120" s="23">
        <f t="shared" si="11"/>
        <v>1.2757724663186419E-2</v>
      </c>
      <c r="N120" s="23">
        <f>SUMPRODUCT(H120:K120,Portfolio!$B$23:$E$23)</f>
        <v>1.2721992015526425E-2</v>
      </c>
      <c r="O120" s="23">
        <f>SUMPRODUCT(H120:K120,Portfolio!$B$24:$E$24)</f>
        <v>5.791367400785119E-3</v>
      </c>
      <c r="Q120" s="21">
        <f t="shared" si="12"/>
        <v>118.00355991927582</v>
      </c>
      <c r="R120" s="21">
        <f t="shared" si="13"/>
        <v>116.08910891089104</v>
      </c>
      <c r="S120" s="22">
        <f>Q120/MAX(Q$6:Q120)-1</f>
        <v>-9.2012518509766661E-2</v>
      </c>
      <c r="T120" s="22">
        <f>R120/MAX(R$6:R120)-1</f>
        <v>-0.1515513533808921</v>
      </c>
    </row>
    <row r="121" spans="1:20" x14ac:dyDescent="0.2">
      <c r="A121" s="18">
        <v>43469</v>
      </c>
      <c r="B121" s="19">
        <v>265.04000000000002</v>
      </c>
      <c r="C121" s="19">
        <v>92.9</v>
      </c>
      <c r="D121" s="19">
        <v>47.57</v>
      </c>
      <c r="E121" s="19">
        <v>2.4700000000000002</v>
      </c>
      <c r="F121" s="20">
        <v>2531.94</v>
      </c>
      <c r="H121" s="23">
        <f t="shared" si="7"/>
        <v>1.446834570925537E-2</v>
      </c>
      <c r="I121" s="23">
        <f t="shared" si="8"/>
        <v>-9.7004583733076855E-3</v>
      </c>
      <c r="J121" s="23">
        <f t="shared" si="9"/>
        <v>7.8389830508474034E-3</v>
      </c>
      <c r="K121" s="23">
        <f>E120/100/Inputs!$B$17-'Valuation and Bond'!$B$44*(E121-E120)/100+0.5*'Valuation and Bond'!$B$45*((E121-E120)/100)^2</f>
        <v>6.2081251965553086E-3</v>
      </c>
      <c r="L121" s="23">
        <f t="shared" si="10"/>
        <v>1.8602405760952845E-2</v>
      </c>
      <c r="M121" s="23">
        <f t="shared" si="11"/>
        <v>2.6031863622568607E-3</v>
      </c>
      <c r="N121" s="23">
        <f>SUMPRODUCT(H121:K121,Portfolio!$B$23:$E$23)</f>
        <v>4.7037488958375992E-3</v>
      </c>
      <c r="O121" s="23">
        <f>SUMPRODUCT(H121:K121,Portfolio!$B$24:$E$24)</f>
        <v>5.718942711241219E-3</v>
      </c>
      <c r="Q121" s="21">
        <f t="shared" si="12"/>
        <v>118.31074517715544</v>
      </c>
      <c r="R121" s="21">
        <f t="shared" si="13"/>
        <v>118.24864561927889</v>
      </c>
      <c r="S121" s="22">
        <f>Q121/MAX(Q$6:Q121)-1</f>
        <v>-8.9648857880851307E-2</v>
      </c>
      <c r="T121" s="22">
        <f>R121/MAX(R$6:R121)-1</f>
        <v>-0.13576816738915209</v>
      </c>
    </row>
    <row r="122" spans="1:20" x14ac:dyDescent="0.2">
      <c r="A122" s="18">
        <v>43476</v>
      </c>
      <c r="B122" s="19">
        <v>277.73</v>
      </c>
      <c r="C122" s="19">
        <v>98.59</v>
      </c>
      <c r="D122" s="19">
        <v>47.34</v>
      </c>
      <c r="E122" s="19">
        <v>2.5499999999999998</v>
      </c>
      <c r="F122" s="20">
        <v>2596.2600000000002</v>
      </c>
      <c r="H122" s="23">
        <f t="shared" si="7"/>
        <v>4.7879565348626585E-2</v>
      </c>
      <c r="I122" s="23">
        <f t="shared" si="8"/>
        <v>6.1248654467168873E-2</v>
      </c>
      <c r="J122" s="23">
        <f t="shared" si="9"/>
        <v>-4.8349800294302803E-3</v>
      </c>
      <c r="K122" s="23">
        <f>E121/100/Inputs!$B$17-'Valuation and Bond'!$B$44*(E122-E121)/100+0.5*'Valuation and Bond'!$B$45*((E122-E121)/100)^2</f>
        <v>-3.0186977217886673E-3</v>
      </c>
      <c r="L122" s="23">
        <f t="shared" si="10"/>
        <v>2.5403445579279094E-2</v>
      </c>
      <c r="M122" s="23">
        <f t="shared" si="11"/>
        <v>2.4320553078568296E-2</v>
      </c>
      <c r="N122" s="23">
        <f>SUMPRODUCT(H122:K122,Portfolio!$B$23:$E$23)</f>
        <v>2.5318635516144126E-2</v>
      </c>
      <c r="O122" s="23">
        <f>SUMPRODUCT(H122:K122,Portfolio!$B$24:$E$24)</f>
        <v>1.1435911000207622E-2</v>
      </c>
      <c r="Q122" s="21">
        <f t="shared" si="12"/>
        <v>121.18812793500143</v>
      </c>
      <c r="R122" s="21">
        <f t="shared" si="13"/>
        <v>121.2525686530917</v>
      </c>
      <c r="S122" s="22">
        <f>Q122/MAX(Q$6:Q122)-1</f>
        <v>-6.7508614608807194E-2</v>
      </c>
      <c r="T122" s="22">
        <f>R122/MAX(R$6:R122)-1</f>
        <v>-0.11381370106154176</v>
      </c>
    </row>
    <row r="123" spans="1:20" x14ac:dyDescent="0.2">
      <c r="A123" s="18">
        <v>43483</v>
      </c>
      <c r="B123" s="19">
        <v>282.87</v>
      </c>
      <c r="C123" s="19">
        <v>99.42</v>
      </c>
      <c r="D123" s="19">
        <v>47.61</v>
      </c>
      <c r="E123" s="19">
        <v>2.56</v>
      </c>
      <c r="F123" s="20">
        <v>2670.71</v>
      </c>
      <c r="H123" s="23">
        <f t="shared" si="7"/>
        <v>1.8507183235516367E-2</v>
      </c>
      <c r="I123" s="23">
        <f t="shared" si="8"/>
        <v>8.4187037224869865E-3</v>
      </c>
      <c r="J123" s="23">
        <f t="shared" si="9"/>
        <v>5.7034220532319324E-3</v>
      </c>
      <c r="K123" s="23">
        <f>E122/100/Inputs!$B$17-'Valuation and Bond'!$B$44*(E123-E122)/100+0.5*'Valuation and Bond'!$B$45*((E123-E122)/100)^2</f>
        <v>5.2880954041822358E-5</v>
      </c>
      <c r="L123" s="23">
        <f t="shared" si="10"/>
        <v>2.8675864512799132E-2</v>
      </c>
      <c r="M123" s="23">
        <f t="shared" si="11"/>
        <v>7.1658551409007664E-3</v>
      </c>
      <c r="N123" s="23">
        <f>SUMPRODUCT(H123:K123,Portfolio!$B$23:$E$23)</f>
        <v>8.1705474913192772E-3</v>
      </c>
      <c r="O123" s="23">
        <f>SUMPRODUCT(H123:K123,Portfolio!$B$24:$E$24)</f>
        <v>5.4531137229617208E-3</v>
      </c>
      <c r="Q123" s="21">
        <f t="shared" si="12"/>
        <v>122.05654450458061</v>
      </c>
      <c r="R123" s="21">
        <f t="shared" si="13"/>
        <v>124.72959088361664</v>
      </c>
      <c r="S123" s="22">
        <f>Q123/MAX(Q$6:Q123)-1</f>
        <v>-6.0826516420955934E-2</v>
      </c>
      <c r="T123" s="22">
        <f>R123/MAX(R$6:R123)-1</f>
        <v>-8.8401542820083612E-2</v>
      </c>
    </row>
    <row r="124" spans="1:20" x14ac:dyDescent="0.2">
      <c r="A124" s="18">
        <v>43490</v>
      </c>
      <c r="B124" s="19">
        <v>287.04000000000002</v>
      </c>
      <c r="C124" s="19">
        <v>104.41</v>
      </c>
      <c r="D124" s="19">
        <v>47.37</v>
      </c>
      <c r="E124" s="19">
        <v>2.58</v>
      </c>
      <c r="F124" s="20">
        <v>2664.76</v>
      </c>
      <c r="H124" s="23">
        <f t="shared" si="7"/>
        <v>1.4741754162689524E-2</v>
      </c>
      <c r="I124" s="23">
        <f t="shared" si="8"/>
        <v>5.0191108428887521E-2</v>
      </c>
      <c r="J124" s="23">
        <f t="shared" si="9"/>
        <v>-5.0409577819786611E-3</v>
      </c>
      <c r="K124" s="23">
        <f>E123/100/Inputs!$B$17-'Valuation and Bond'!$B$44*(E124-E123)/100+0.5*'Valuation and Bond'!$B$45*((E124-E123)/100)^2</f>
        <v>-3.8247350291524659E-4</v>
      </c>
      <c r="L124" s="23">
        <f t="shared" si="10"/>
        <v>-2.2278719890964638E-3</v>
      </c>
      <c r="M124" s="23">
        <f t="shared" si="11"/>
        <v>1.6738530256088395E-2</v>
      </c>
      <c r="N124" s="23">
        <f>SUMPRODUCT(H124:K124,Portfolio!$B$23:$E$23)</f>
        <v>1.4877357826670785E-2</v>
      </c>
      <c r="O124" s="23">
        <f>SUMPRODUCT(H124:K124,Portfolio!$B$24:$E$24)</f>
        <v>6.6851530656331162E-3</v>
      </c>
      <c r="Q124" s="21">
        <f t="shared" si="12"/>
        <v>124.09959166772413</v>
      </c>
      <c r="R124" s="21">
        <f t="shared" si="13"/>
        <v>124.45170932187557</v>
      </c>
      <c r="S124" s="22">
        <f>Q124/MAX(Q$6:Q124)-1</f>
        <v>-4.5106132650352238E-2</v>
      </c>
      <c r="T124" s="22">
        <f>R124/MAX(R$6:R124)-1</f>
        <v>-9.0432467488138268E-2</v>
      </c>
    </row>
    <row r="125" spans="1:20" x14ac:dyDescent="0.2">
      <c r="A125" s="18">
        <v>43497</v>
      </c>
      <c r="B125" s="19">
        <v>290.58</v>
      </c>
      <c r="C125" s="19">
        <v>101.99</v>
      </c>
      <c r="D125" s="19">
        <v>48.7</v>
      </c>
      <c r="E125" s="19">
        <v>2.5099999999999998</v>
      </c>
      <c r="F125" s="20">
        <v>2706.53</v>
      </c>
      <c r="H125" s="23">
        <f t="shared" si="7"/>
        <v>1.2332775919732253E-2</v>
      </c>
      <c r="I125" s="23">
        <f t="shared" si="8"/>
        <v>-2.3177856527152541E-2</v>
      </c>
      <c r="J125" s="23">
        <f t="shared" si="9"/>
        <v>2.8076841883048376E-2</v>
      </c>
      <c r="K125" s="23">
        <f>E124/100/Inputs!$B$17-'Valuation and Bond'!$B$44*(E125-E124)/100+0.5*'Valuation and Bond'!$B$45*((E125-E124)/100)^2</f>
        <v>3.5650110445069193E-3</v>
      </c>
      <c r="L125" s="23">
        <f t="shared" si="10"/>
        <v>1.5674957594680183E-2</v>
      </c>
      <c r="M125" s="23">
        <f t="shared" si="11"/>
        <v>4.1743364998343968E-3</v>
      </c>
      <c r="N125" s="23">
        <f>SUMPRODUCT(H125:K125,Portfolio!$B$23:$E$23)</f>
        <v>5.1991930800337517E-3</v>
      </c>
      <c r="O125" s="23">
        <f>SUMPRODUCT(H125:K125,Portfolio!$B$24:$E$24)</f>
        <v>9.4565773754497432E-3</v>
      </c>
      <c r="Q125" s="21">
        <f t="shared" si="12"/>
        <v>124.61762512283724</v>
      </c>
      <c r="R125" s="21">
        <f t="shared" si="13"/>
        <v>126.40248458808144</v>
      </c>
      <c r="S125" s="22">
        <f>Q125/MAX(Q$6:Q125)-1</f>
        <v>-4.1120084326406681E-2</v>
      </c>
      <c r="T125" s="22">
        <f>R125/MAX(R$6:R125)-1</f>
        <v>-7.6175034986516899E-2</v>
      </c>
    </row>
    <row r="126" spans="1:20" x14ac:dyDescent="0.2">
      <c r="A126" s="18">
        <v>43504</v>
      </c>
      <c r="B126" s="19">
        <v>301.5</v>
      </c>
      <c r="C126" s="19">
        <v>104.55</v>
      </c>
      <c r="D126" s="19">
        <v>49.5</v>
      </c>
      <c r="E126" s="19">
        <v>2.4900000000000002</v>
      </c>
      <c r="F126" s="20">
        <v>2707.88</v>
      </c>
      <c r="H126" s="23">
        <f t="shared" si="7"/>
        <v>3.7580012389015094E-2</v>
      </c>
      <c r="I126" s="23">
        <f t="shared" si="8"/>
        <v>2.5100500049024532E-2</v>
      </c>
      <c r="J126" s="23">
        <f t="shared" si="9"/>
        <v>1.6427104722792629E-2</v>
      </c>
      <c r="K126" s="23">
        <f>E125/100/Inputs!$B$17-'Valuation and Bond'!$B$44*(E126-E125)/100+0.5*'Valuation and Bond'!$B$45*((E126-E125)/100)^2</f>
        <v>1.3583780127657385E-3</v>
      </c>
      <c r="L126" s="23">
        <f t="shared" si="10"/>
        <v>4.9879365830052258E-4</v>
      </c>
      <c r="M126" s="23">
        <f t="shared" si="11"/>
        <v>1.9078340104218258E-2</v>
      </c>
      <c r="N126" s="23">
        <f>SUMPRODUCT(H126:K126,Portfolio!$B$23:$E$23)</f>
        <v>2.0116498793399499E-2</v>
      </c>
      <c r="O126" s="23">
        <f>SUMPRODUCT(H126:K126,Portfolio!$B$24:$E$24)</f>
        <v>1.4274581378151052E-2</v>
      </c>
      <c r="Q126" s="21">
        <f t="shared" si="12"/>
        <v>126.9951225579107</v>
      </c>
      <c r="R126" s="21">
        <f t="shared" si="13"/>
        <v>126.46553334578741</v>
      </c>
      <c r="S126" s="22">
        <f>Q126/MAX(Q$6:Q126)-1</f>
        <v>-2.2826247176081726E-2</v>
      </c>
      <c r="T126" s="22">
        <f>R126/MAX(R$6:R126)-1</f>
        <v>-7.5714236952588498E-2</v>
      </c>
    </row>
    <row r="127" spans="1:20" x14ac:dyDescent="0.2">
      <c r="A127" s="18">
        <v>43511</v>
      </c>
      <c r="B127" s="19">
        <v>307.23</v>
      </c>
      <c r="C127" s="19">
        <v>107.57</v>
      </c>
      <c r="D127" s="19">
        <v>45.24</v>
      </c>
      <c r="E127" s="19">
        <v>2.4900000000000002</v>
      </c>
      <c r="F127" s="20">
        <v>2775.6</v>
      </c>
      <c r="H127" s="23">
        <f t="shared" si="7"/>
        <v>1.9004975124378154E-2</v>
      </c>
      <c r="I127" s="23">
        <f t="shared" si="8"/>
        <v>2.8885700621712029E-2</v>
      </c>
      <c r="J127" s="23">
        <f t="shared" si="9"/>
        <v>-8.606060606060606E-2</v>
      </c>
      <c r="K127" s="23">
        <f>E126/100/Inputs!$B$17-'Valuation and Bond'!$B$44*(E127-E126)/100+0.5*'Valuation and Bond'!$B$45*((E127-E126)/100)^2</f>
        <v>4.7884615384615386E-4</v>
      </c>
      <c r="L127" s="23">
        <f t="shared" si="10"/>
        <v>2.500849372941194E-2</v>
      </c>
      <c r="M127" s="23">
        <f t="shared" si="11"/>
        <v>-1.6899244905540244E-2</v>
      </c>
      <c r="N127" s="23">
        <f>SUMPRODUCT(H127:K127,Portfolio!$B$23:$E$23)</f>
        <v>-9.4227710401674301E-3</v>
      </c>
      <c r="O127" s="23">
        <f>SUMPRODUCT(H127:K127,Portfolio!$B$24:$E$24)</f>
        <v>-2.2682980755341798E-2</v>
      </c>
      <c r="Q127" s="21">
        <f t="shared" si="12"/>
        <v>124.84900087999547</v>
      </c>
      <c r="R127" s="21">
        <f t="shared" si="13"/>
        <v>129.62824584345228</v>
      </c>
      <c r="S127" s="22">
        <f>Q127/MAX(Q$6:Q127)-1</f>
        <v>-3.9339745740318954E-2</v>
      </c>
      <c r="T127" s="22">
        <f>R127/MAX(R$6:R127)-1</f>
        <v>-5.2599242243232536E-2</v>
      </c>
    </row>
    <row r="128" spans="1:20" x14ac:dyDescent="0.2">
      <c r="A128" s="18">
        <v>43518</v>
      </c>
      <c r="B128" s="19">
        <v>307.13</v>
      </c>
      <c r="C128" s="19">
        <v>107.31</v>
      </c>
      <c r="D128" s="19">
        <v>45.28</v>
      </c>
      <c r="E128" s="19">
        <v>2.48</v>
      </c>
      <c r="F128" s="20">
        <v>2792.67</v>
      </c>
      <c r="H128" s="23">
        <f t="shared" si="7"/>
        <v>-3.2548904729368111E-4</v>
      </c>
      <c r="I128" s="23">
        <f t="shared" si="8"/>
        <v>-2.4170307706609107E-3</v>
      </c>
      <c r="J128" s="23">
        <f t="shared" si="9"/>
        <v>8.8417329796630639E-4</v>
      </c>
      <c r="K128" s="23">
        <f>E127/100/Inputs!$B$17-'Valuation and Bond'!$B$44*(E128-E127)/100+0.5*'Valuation and Bond'!$B$45*((E128-E127)/100)^2</f>
        <v>9.1657594265157473E-4</v>
      </c>
      <c r="L128" s="23">
        <f t="shared" si="10"/>
        <v>6.1500216169476651E-3</v>
      </c>
      <c r="M128" s="23">
        <f t="shared" si="11"/>
        <v>-3.5902377649056996E-4</v>
      </c>
      <c r="N128" s="23">
        <f>SUMPRODUCT(H128:K128,Portfolio!$B$23:$E$23)</f>
        <v>-2.3544264433417766E-4</v>
      </c>
      <c r="O128" s="23">
        <f>SUMPRODUCT(H128:K128,Portfolio!$B$24:$E$24)</f>
        <v>3.0412946085015783E-4</v>
      </c>
      <c r="Q128" s="21">
        <f t="shared" si="12"/>
        <v>124.80417712020846</v>
      </c>
      <c r="R128" s="21">
        <f t="shared" si="13"/>
        <v>130.42546235755651</v>
      </c>
      <c r="S128" s="22">
        <f>Q128/MAX(Q$6:Q128)-1</f>
        <v>-3.9684645612727665E-2</v>
      </c>
      <c r="T128" s="22">
        <f>R128/MAX(R$6:R128)-1</f>
        <v>-4.6772707103115763E-2</v>
      </c>
    </row>
    <row r="129" spans="1:20" x14ac:dyDescent="0.2">
      <c r="A129" s="18">
        <v>43525</v>
      </c>
      <c r="B129" s="19">
        <v>309.47000000000003</v>
      </c>
      <c r="C129" s="19">
        <v>106.76</v>
      </c>
      <c r="D129" s="19">
        <v>45.38</v>
      </c>
      <c r="E129" s="19">
        <v>2.5</v>
      </c>
      <c r="F129" s="20">
        <v>2803.69</v>
      </c>
      <c r="H129" s="23">
        <f t="shared" si="7"/>
        <v>7.6189235828476587E-3</v>
      </c>
      <c r="I129" s="23">
        <f t="shared" si="8"/>
        <v>-5.1253378063553789E-3</v>
      </c>
      <c r="J129" s="23">
        <f t="shared" si="9"/>
        <v>2.2084805653710404E-3</v>
      </c>
      <c r="K129" s="23">
        <f>E128/100/Inputs!$B$17-'Valuation and Bond'!$B$44*(E129-E128)/100+0.5*'Valuation and Bond'!$B$45*((E129-E128)/100)^2</f>
        <v>-3.9785811829986194E-4</v>
      </c>
      <c r="L129" s="23">
        <f t="shared" si="10"/>
        <v>3.946044466406784E-3</v>
      </c>
      <c r="M129" s="23">
        <f t="shared" si="11"/>
        <v>-1.6063534217206386E-5</v>
      </c>
      <c r="N129" s="23">
        <f>SUMPRODUCT(H129:K129,Portfolio!$B$23:$E$23)</f>
        <v>1.0760520558908645E-3</v>
      </c>
      <c r="O129" s="23">
        <f>SUMPRODUCT(H129:K129,Portfolio!$B$24:$E$24)</f>
        <v>8.9235364443883782E-4</v>
      </c>
      <c r="Q129" s="21">
        <f t="shared" si="12"/>
        <v>124.80217232403884</v>
      </c>
      <c r="R129" s="21">
        <f t="shared" si="13"/>
        <v>130.94012703157108</v>
      </c>
      <c r="S129" s="22">
        <f>Q129/MAX(Q$6:Q129)-1</f>
        <v>-3.97000716712822E-2</v>
      </c>
      <c r="T129" s="22">
        <f>R129/MAX(R$6:R129)-1</f>
        <v>-4.3011229818752272E-2</v>
      </c>
    </row>
    <row r="130" spans="1:20" x14ac:dyDescent="0.2">
      <c r="A130" s="18">
        <v>43532</v>
      </c>
      <c r="B130" s="19">
        <v>300.95</v>
      </c>
      <c r="C130" s="19">
        <v>104.86</v>
      </c>
      <c r="D130" s="19">
        <v>44.84</v>
      </c>
      <c r="E130" s="19">
        <v>2.48</v>
      </c>
      <c r="F130" s="20">
        <v>2743.07</v>
      </c>
      <c r="H130" s="23">
        <f t="shared" si="7"/>
        <v>-2.7530939994183767E-2</v>
      </c>
      <c r="I130" s="23">
        <f t="shared" si="8"/>
        <v>-1.779692768827279E-2</v>
      </c>
      <c r="J130" s="23">
        <f t="shared" si="9"/>
        <v>-1.189951520493604E-2</v>
      </c>
      <c r="K130" s="23">
        <f>E129/100/Inputs!$B$17-'Valuation and Bond'!$B$44*(E130-E129)/100+0.5*'Valuation and Bond'!$B$45*((E130-E129)/100)^2</f>
        <v>1.3564549358426811E-3</v>
      </c>
      <c r="L130" s="23">
        <f t="shared" si="10"/>
        <v>-2.1621505943952402E-2</v>
      </c>
      <c r="M130" s="23">
        <f t="shared" si="11"/>
        <v>-1.3265631080856747E-2</v>
      </c>
      <c r="N130" s="23">
        <f>SUMPRODUCT(H130:K130,Portfolio!$B$23:$E$23)</f>
        <v>-1.3967731987887479E-2</v>
      </c>
      <c r="O130" s="23">
        <f>SUMPRODUCT(H130:K130,Portfolio!$B$24:$E$24)</f>
        <v>-9.3928352167523682E-3</v>
      </c>
      <c r="Q130" s="21">
        <f t="shared" si="12"/>
        <v>123.14659274789862</v>
      </c>
      <c r="R130" s="21">
        <f t="shared" si="13"/>
        <v>128.10900429665608</v>
      </c>
      <c r="S130" s="22">
        <f>Q130/MAX(Q$6:Q130)-1</f>
        <v>-5.2439056247464144E-2</v>
      </c>
      <c r="T130" s="22">
        <f>R130/MAX(R$6:R130)-1</f>
        <v>-6.3702768201521764E-2</v>
      </c>
    </row>
    <row r="131" spans="1:20" x14ac:dyDescent="0.2">
      <c r="A131" s="18">
        <v>43539</v>
      </c>
      <c r="B131" s="19">
        <v>296.14999999999998</v>
      </c>
      <c r="C131" s="19">
        <v>110.74</v>
      </c>
      <c r="D131" s="19">
        <v>45.3</v>
      </c>
      <c r="E131" s="19">
        <v>2.42</v>
      </c>
      <c r="F131" s="20">
        <v>2822.48</v>
      </c>
      <c r="H131" s="23">
        <f t="shared" si="7"/>
        <v>-1.5949493271307569E-2</v>
      </c>
      <c r="I131" s="23">
        <f t="shared" si="8"/>
        <v>5.6074766355140193E-2</v>
      </c>
      <c r="J131" s="23">
        <f t="shared" si="9"/>
        <v>1.025869759143605E-2</v>
      </c>
      <c r="K131" s="23">
        <f>E130/100/Inputs!$B$17-'Valuation and Bond'!$B$44*(E131-E130)/100+0.5*'Valuation and Bond'!$B$45*((E131-E130)/100)^2</f>
        <v>3.1066937216949618E-3</v>
      </c>
      <c r="L131" s="23">
        <f t="shared" si="10"/>
        <v>2.894931591246297E-2</v>
      </c>
      <c r="M131" s="23">
        <f t="shared" si="11"/>
        <v>2.0475014220196673E-2</v>
      </c>
      <c r="N131" s="23">
        <f>SUMPRODUCT(H131:K131,Portfolio!$B$23:$E$23)</f>
        <v>1.3372666099240909E-2</v>
      </c>
      <c r="O131" s="23">
        <f>SUMPRODUCT(H131:K131,Portfolio!$B$24:$E$24)</f>
        <v>1.0085707745646391E-2</v>
      </c>
      <c r="Q131" s="21">
        <f t="shared" si="12"/>
        <v>125.66802098558061</v>
      </c>
      <c r="R131" s="21">
        <f t="shared" si="13"/>
        <v>131.81767233327105</v>
      </c>
      <c r="S131" s="22">
        <f>Q131/MAX(Q$6:Q131)-1</f>
        <v>-3.3037732449628043E-2</v>
      </c>
      <c r="T131" s="22">
        <f>R131/MAX(R$6:R131)-1</f>
        <v>-3.6597603850223148E-2</v>
      </c>
    </row>
    <row r="132" spans="1:20" x14ac:dyDescent="0.2">
      <c r="A132" s="18">
        <v>43546</v>
      </c>
      <c r="B132" s="19">
        <v>294.01</v>
      </c>
      <c r="C132" s="19">
        <v>109.68</v>
      </c>
      <c r="D132" s="19">
        <v>45.93</v>
      </c>
      <c r="E132" s="19">
        <v>2.35</v>
      </c>
      <c r="F132" s="20">
        <v>2800.71</v>
      </c>
      <c r="H132" s="23">
        <f t="shared" si="7"/>
        <v>-7.2260678710113213E-3</v>
      </c>
      <c r="I132" s="23">
        <f t="shared" si="8"/>
        <v>-9.5719703810727141E-3</v>
      </c>
      <c r="J132" s="23">
        <f t="shared" si="9"/>
        <v>1.3907284768212014E-2</v>
      </c>
      <c r="K132" s="23">
        <f>E131/100/Inputs!$B$17-'Valuation and Bond'!$B$44*(E132-E131)/100+0.5*'Valuation and Bond'!$B$45*((E132-E131)/100)^2</f>
        <v>3.5342418137376684E-3</v>
      </c>
      <c r="L132" s="23">
        <f t="shared" si="10"/>
        <v>-7.7130750262180969E-3</v>
      </c>
      <c r="M132" s="23">
        <f t="shared" si="11"/>
        <v>1.2843527533560927E-3</v>
      </c>
      <c r="N132" s="23">
        <f>SUMPRODUCT(H132:K132,Portfolio!$B$23:$E$23)</f>
        <v>1.6087208246641168E-4</v>
      </c>
      <c r="O132" s="23">
        <f>SUMPRODUCT(H132:K132,Portfolio!$B$24:$E$24)</f>
        <v>3.9253250494610901E-3</v>
      </c>
      <c r="Q132" s="21">
        <f t="shared" si="12"/>
        <v>125.82942305434226</v>
      </c>
      <c r="R132" s="21">
        <f t="shared" si="13"/>
        <v>130.8009527367831</v>
      </c>
      <c r="S132" s="22">
        <f>Q132/MAX(Q$6:Q132)-1</f>
        <v>-3.1795811798908225E-2</v>
      </c>
      <c r="T132" s="22">
        <f>R132/MAX(R$6:R132)-1</f>
        <v>-4.4028398812164582E-2</v>
      </c>
    </row>
    <row r="133" spans="1:20" x14ac:dyDescent="0.2">
      <c r="A133" s="18">
        <v>43553</v>
      </c>
      <c r="B133" s="19">
        <v>300.16000000000003</v>
      </c>
      <c r="C133" s="19">
        <v>106.07</v>
      </c>
      <c r="D133" s="19">
        <v>46.86</v>
      </c>
      <c r="E133" s="19">
        <v>2.2000000000000002</v>
      </c>
      <c r="F133" s="20">
        <v>2834.4</v>
      </c>
      <c r="H133" s="23">
        <f t="shared" si="7"/>
        <v>2.0917655862045637E-2</v>
      </c>
      <c r="I133" s="23">
        <f t="shared" si="8"/>
        <v>-3.2913931436907462E-2</v>
      </c>
      <c r="J133" s="23">
        <f t="shared" si="9"/>
        <v>2.0248203788373553E-2</v>
      </c>
      <c r="K133" s="23">
        <f>E132/100/Inputs!$B$17-'Valuation and Bond'!$B$44*(E133-E132)/100+0.5*'Valuation and Bond'!$B$45*((E133-E132)/100)^2</f>
        <v>7.0416132925801593E-3</v>
      </c>
      <c r="L133" s="23">
        <f t="shared" si="10"/>
        <v>1.202909262294205E-2</v>
      </c>
      <c r="M133" s="23">
        <f t="shared" si="11"/>
        <v>1.5208346463369102E-4</v>
      </c>
      <c r="N133" s="23">
        <f>SUMPRODUCT(H133:K133,Portfolio!$B$23:$E$23)</f>
        <v>3.823385376522972E-3</v>
      </c>
      <c r="O133" s="23">
        <f>SUMPRODUCT(H133:K133,Portfolio!$B$24:$E$24)</f>
        <v>8.013193258525321E-3</v>
      </c>
      <c r="Q133" s="21">
        <f t="shared" si="12"/>
        <v>125.84855962895324</v>
      </c>
      <c r="R133" s="21">
        <f t="shared" si="13"/>
        <v>132.37436951242293</v>
      </c>
      <c r="S133" s="22">
        <f>Q133/MAX(Q$6:Q133)-1</f>
        <v>-3.1648563951493625E-2</v>
      </c>
      <c r="T133" s="22">
        <f>R133/MAX(R$6:R133)-1</f>
        <v>-3.252892787657391E-2</v>
      </c>
    </row>
    <row r="134" spans="1:20" x14ac:dyDescent="0.2">
      <c r="A134" s="18">
        <v>43560</v>
      </c>
      <c r="B134" s="19">
        <v>302.58</v>
      </c>
      <c r="C134" s="19">
        <v>113.63</v>
      </c>
      <c r="D134" s="19">
        <v>46.47</v>
      </c>
      <c r="E134" s="19">
        <v>2.31</v>
      </c>
      <c r="F134" s="20">
        <v>2892.74</v>
      </c>
      <c r="H134" s="23">
        <f t="shared" si="7"/>
        <v>8.0623667377397457E-3</v>
      </c>
      <c r="I134" s="23">
        <f t="shared" si="8"/>
        <v>7.1273687187706214E-2</v>
      </c>
      <c r="J134" s="23">
        <f t="shared" si="9"/>
        <v>-8.3226632522407362E-3</v>
      </c>
      <c r="K134" s="23">
        <f>E133/100/Inputs!$B$17-'Valuation and Bond'!$B$44*(E134-E133)/100+0.5*'Valuation and Bond'!$B$45*((E134-E133)/100)^2</f>
        <v>-4.3770263412491531E-3</v>
      </c>
      <c r="L134" s="23">
        <f t="shared" si="10"/>
        <v>2.0582839401636965E-2</v>
      </c>
      <c r="M134" s="23">
        <f t="shared" si="11"/>
        <v>2.0904276248812487E-2</v>
      </c>
      <c r="N134" s="23">
        <f>SUMPRODUCT(H134:K134,Portfolio!$B$23:$E$23)</f>
        <v>1.6659091082989019E-2</v>
      </c>
      <c r="O134" s="23">
        <f>SUMPRODUCT(H134:K134,Portfolio!$B$24:$E$24)</f>
        <v>5.906178676113356E-3</v>
      </c>
      <c r="Q134" s="21">
        <f t="shared" si="12"/>
        <v>128.47933268495203</v>
      </c>
      <c r="R134" s="21">
        <f t="shared" si="13"/>
        <v>135.09900990099007</v>
      </c>
      <c r="S134" s="22">
        <f>Q134/MAX(Q$6:Q134)-1</f>
        <v>-1.1405878026401362E-2</v>
      </c>
      <c r="T134" s="22">
        <f>R134/MAX(R$6:R134)-1</f>
        <v>-1.261562617332801E-2</v>
      </c>
    </row>
    <row r="135" spans="1:20" x14ac:dyDescent="0.2">
      <c r="A135" s="18">
        <v>43567</v>
      </c>
      <c r="B135" s="19">
        <v>309.7</v>
      </c>
      <c r="C135" s="19">
        <v>116.76</v>
      </c>
      <c r="D135" s="19">
        <v>46.74</v>
      </c>
      <c r="E135" s="19">
        <v>2.3199999999999998</v>
      </c>
      <c r="F135" s="20">
        <v>2907.41</v>
      </c>
      <c r="H135" s="23">
        <f t="shared" ref="H135:H198" si="14">B135/B134-1</f>
        <v>2.3530967016987203E-2</v>
      </c>
      <c r="I135" s="23">
        <f t="shared" ref="I135:I198" si="15">C135/C134-1</f>
        <v>2.7545542550382995E-2</v>
      </c>
      <c r="J135" s="23">
        <f t="shared" ref="J135:J198" si="16">D135/D134-1</f>
        <v>5.8102001291155947E-3</v>
      </c>
      <c r="K135" s="23">
        <f>E134/100/Inputs!$B$17-'Valuation and Bond'!$B$44*(E135-E134)/100+0.5*'Valuation and Bond'!$B$45*((E135-E134)/100)^2</f>
        <v>6.7271078879955405E-6</v>
      </c>
      <c r="L135" s="23">
        <f t="shared" ref="L135:L198" si="17">F135/F134-1</f>
        <v>5.0713164681237544E-3</v>
      </c>
      <c r="M135" s="23">
        <f t="shared" ref="M135:M198" si="18">SUMPRODUCT(H135:K135,$H$4:$K$4)</f>
        <v>1.4170170136531306E-2</v>
      </c>
      <c r="N135" s="23">
        <f>SUMPRODUCT(H135:K135,Portfolio!$B$23:$E$23)</f>
        <v>1.4223359201093447E-2</v>
      </c>
      <c r="O135" s="23">
        <f>SUMPRODUCT(H135:K135,Portfolio!$B$24:$E$24)</f>
        <v>8.6507771090470094E-3</v>
      </c>
      <c r="Q135" s="21">
        <f t="shared" ref="Q135:Q198" si="19">Q134*(1+M135)</f>
        <v>130.29990668812582</v>
      </c>
      <c r="R135" s="21">
        <f t="shared" ref="R135:R198" si="20">R134*(1+L135)</f>
        <v>135.78413973472817</v>
      </c>
      <c r="S135" s="22">
        <f>Q135/MAX(Q$6:Q135)-1</f>
        <v>0</v>
      </c>
      <c r="T135" s="22">
        <f>R135/MAX(R$6:R135)-1</f>
        <v>-7.6082875379727133E-3</v>
      </c>
    </row>
    <row r="136" spans="1:20" x14ac:dyDescent="0.2">
      <c r="A136" s="18">
        <v>43574</v>
      </c>
      <c r="B136" s="19">
        <v>314.26</v>
      </c>
      <c r="C136" s="19">
        <v>115.51</v>
      </c>
      <c r="D136" s="19">
        <v>47.48</v>
      </c>
      <c r="E136" s="19">
        <v>2.39</v>
      </c>
      <c r="F136" s="20">
        <v>2905.03</v>
      </c>
      <c r="H136" s="23">
        <f t="shared" si="14"/>
        <v>1.4723926380368013E-2</v>
      </c>
      <c r="I136" s="23">
        <f t="shared" si="15"/>
        <v>-1.0705721137375779E-2</v>
      </c>
      <c r="J136" s="23">
        <f t="shared" si="16"/>
        <v>1.5832263585793704E-2</v>
      </c>
      <c r="K136" s="23">
        <f>E135/100/Inputs!$B$17-'Valuation and Bond'!$B$44*(E136-E135)/100+0.5*'Valuation and Bond'!$B$45*((E136-E135)/100)^2</f>
        <v>-2.611623106530462E-3</v>
      </c>
      <c r="L136" s="23">
        <f t="shared" si="17"/>
        <v>-8.1859799615457973E-4</v>
      </c>
      <c r="M136" s="23">
        <f t="shared" si="18"/>
        <v>3.239096608964038E-3</v>
      </c>
      <c r="N136" s="23">
        <f>SUMPRODUCT(H136:K136,Portfolio!$B$23:$E$23)</f>
        <v>4.3097114305638692E-3</v>
      </c>
      <c r="O136" s="23">
        <f>SUMPRODUCT(H136:K136,Portfolio!$B$24:$E$24)</f>
        <v>4.7982150657370267E-3</v>
      </c>
      <c r="Q136" s="21">
        <f t="shared" si="19"/>
        <v>130.72196067402763</v>
      </c>
      <c r="R136" s="21">
        <f t="shared" si="20"/>
        <v>135.67298711003176</v>
      </c>
      <c r="S136" s="22">
        <f>Q136/MAX(Q$6:Q136)-1</f>
        <v>0</v>
      </c>
      <c r="T136" s="22">
        <f>R136/MAX(R$6:R136)-1</f>
        <v>-8.4206574051944871E-3</v>
      </c>
    </row>
    <row r="137" spans="1:20" x14ac:dyDescent="0.2">
      <c r="A137" s="18">
        <v>43581</v>
      </c>
      <c r="B137" s="19">
        <v>328.33</v>
      </c>
      <c r="C137" s="19">
        <v>117.21</v>
      </c>
      <c r="D137" s="19">
        <v>48.26</v>
      </c>
      <c r="E137" s="19">
        <v>2.34</v>
      </c>
      <c r="F137" s="20">
        <v>2939.88</v>
      </c>
      <c r="H137" s="23">
        <f t="shared" si="14"/>
        <v>4.4771844969133889E-2</v>
      </c>
      <c r="I137" s="23">
        <f t="shared" si="15"/>
        <v>1.471734049000073E-2</v>
      </c>
      <c r="J137" s="23">
        <f t="shared" si="16"/>
        <v>1.6427969671440668E-2</v>
      </c>
      <c r="K137" s="23">
        <f>E136/100/Inputs!$B$17-'Valuation and Bond'!$B$44*(E137-E136)/100+0.5*'Valuation and Bond'!$B$45*((E137-E136)/100)^2</f>
        <v>2.6505256032687292E-3</v>
      </c>
      <c r="L137" s="23">
        <f t="shared" si="17"/>
        <v>1.1996433771768178E-2</v>
      </c>
      <c r="M137" s="23">
        <f t="shared" si="18"/>
        <v>1.6863536704875455E-2</v>
      </c>
      <c r="N137" s="23">
        <f>SUMPRODUCT(H137:K137,Portfolio!$B$23:$E$23)</f>
        <v>1.9641920183461004E-2</v>
      </c>
      <c r="O137" s="23">
        <f>SUMPRODUCT(H137:K137,Portfolio!$B$24:$E$24)</f>
        <v>1.4344030266421901E-2</v>
      </c>
      <c r="Q137" s="21">
        <f t="shared" si="19"/>
        <v>132.92639525598739</v>
      </c>
      <c r="R137" s="21">
        <f t="shared" si="20"/>
        <v>137.30057911451522</v>
      </c>
      <c r="S137" s="22">
        <f>Q137/MAX(Q$6:Q137)-1</f>
        <v>0</v>
      </c>
      <c r="T137" s="22">
        <f>R137/MAX(R$6:R137)-1</f>
        <v>0</v>
      </c>
    </row>
    <row r="138" spans="1:20" x14ac:dyDescent="0.2">
      <c r="A138" s="18">
        <v>43588</v>
      </c>
      <c r="B138" s="19">
        <v>334.07</v>
      </c>
      <c r="C138" s="19">
        <v>117.47</v>
      </c>
      <c r="D138" s="19">
        <v>48.72</v>
      </c>
      <c r="E138" s="19">
        <v>2.3199999999999998</v>
      </c>
      <c r="F138" s="20">
        <v>2945.64</v>
      </c>
      <c r="H138" s="23">
        <f t="shared" si="14"/>
        <v>1.7482410988943986E-2</v>
      </c>
      <c r="I138" s="23">
        <f t="shared" si="15"/>
        <v>2.2182407644399937E-3</v>
      </c>
      <c r="J138" s="23">
        <f t="shared" si="16"/>
        <v>9.5317032739328234E-3</v>
      </c>
      <c r="K138" s="23">
        <f>E137/100/Inputs!$B$17-'Valuation and Bond'!$B$44*(E138-E137)/100+0.5*'Valuation and Bond'!$B$45*((E138-E137)/100)^2</f>
        <v>1.3256857050734502E-3</v>
      </c>
      <c r="L138" s="23">
        <f t="shared" si="17"/>
        <v>1.9592636434140331E-3</v>
      </c>
      <c r="M138" s="23">
        <f t="shared" si="18"/>
        <v>6.5305259042672936E-3</v>
      </c>
      <c r="N138" s="23">
        <f>SUMPRODUCT(H138:K138,Portfolio!$B$23:$E$23)</f>
        <v>7.6395101830975636E-3</v>
      </c>
      <c r="O138" s="23">
        <f>SUMPRODUCT(H138:K138,Portfolio!$B$24:$E$24)</f>
        <v>6.305840034597162E-3</v>
      </c>
      <c r="Q138" s="21">
        <f t="shared" si="19"/>
        <v>133.79447452356749</v>
      </c>
      <c r="R138" s="21">
        <f t="shared" si="20"/>
        <v>137.56958714739397</v>
      </c>
      <c r="S138" s="22">
        <f>Q138/MAX(Q$6:Q138)-1</f>
        <v>0</v>
      </c>
      <c r="T138" s="22">
        <f>R138/MAX(R$6:R138)-1</f>
        <v>0</v>
      </c>
    </row>
    <row r="139" spans="1:20" x14ac:dyDescent="0.2">
      <c r="A139" s="18">
        <v>43595</v>
      </c>
      <c r="B139" s="19">
        <v>341.35</v>
      </c>
      <c r="C139" s="19">
        <v>112.6</v>
      </c>
      <c r="D139" s="19">
        <v>48.19</v>
      </c>
      <c r="E139" s="19">
        <v>2.27</v>
      </c>
      <c r="F139" s="20">
        <v>2881.4</v>
      </c>
      <c r="H139" s="23">
        <f t="shared" si="14"/>
        <v>2.1791840033525967E-2</v>
      </c>
      <c r="I139" s="23">
        <f t="shared" si="15"/>
        <v>-4.145739337703247E-2</v>
      </c>
      <c r="J139" s="23">
        <f t="shared" si="16"/>
        <v>-1.0878489326765162E-2</v>
      </c>
      <c r="K139" s="23">
        <f>E138/100/Inputs!$B$17-'Valuation and Bond'!$B$44*(E139-E138)/100+0.5*'Valuation and Bond'!$B$45*((E139-E138)/100)^2</f>
        <v>2.6370640648071711E-3</v>
      </c>
      <c r="L139" s="23">
        <f t="shared" si="17"/>
        <v>-2.1808503415217007E-2</v>
      </c>
      <c r="M139" s="23">
        <f t="shared" si="18"/>
        <v>-1.3937598344800333E-2</v>
      </c>
      <c r="N139" s="23">
        <f>SUMPRODUCT(H139:K139,Portfolio!$B$23:$E$23)</f>
        <v>-6.9767446513661234E-3</v>
      </c>
      <c r="O139" s="23">
        <f>SUMPRODUCT(H139:K139,Portfolio!$B$24:$E$24)</f>
        <v>-5.3097094118500932E-3</v>
      </c>
      <c r="Q139" s="21">
        <f t="shared" si="19"/>
        <v>131.92970087690438</v>
      </c>
      <c r="R139" s="21">
        <f t="shared" si="20"/>
        <v>134.56940033626003</v>
      </c>
      <c r="S139" s="22">
        <f>Q139/MAX(Q$6:Q139)-1</f>
        <v>-1.393759834480035E-2</v>
      </c>
      <c r="T139" s="22">
        <f>R139/MAX(R$6:R139)-1</f>
        <v>-2.1808503415217118E-2</v>
      </c>
    </row>
    <row r="140" spans="1:20" x14ac:dyDescent="0.2">
      <c r="A140" s="18">
        <v>43602</v>
      </c>
      <c r="B140" s="19">
        <v>337.99</v>
      </c>
      <c r="C140" s="19">
        <v>106.79</v>
      </c>
      <c r="D140" s="19">
        <v>49.2</v>
      </c>
      <c r="E140" s="19">
        <v>2.1800000000000002</v>
      </c>
      <c r="F140" s="20">
        <v>2859.53</v>
      </c>
      <c r="H140" s="23">
        <f t="shared" si="14"/>
        <v>-9.8432693716127284E-3</v>
      </c>
      <c r="I140" s="23">
        <f t="shared" si="15"/>
        <v>-5.1598579040852521E-2</v>
      </c>
      <c r="J140" s="23">
        <f t="shared" si="16"/>
        <v>2.0958705125544874E-2</v>
      </c>
      <c r="K140" s="23">
        <f>E139/100/Inputs!$B$17-'Valuation and Bond'!$B$44*(E140-E139)/100+0.5*'Valuation and Bond'!$B$45*((E140-E139)/100)^2</f>
        <v>4.3842471494417549E-3</v>
      </c>
      <c r="L140" s="23">
        <f t="shared" si="17"/>
        <v>-7.5900603873116923E-3</v>
      </c>
      <c r="M140" s="23">
        <f t="shared" si="18"/>
        <v>-1.0381351865460272E-2</v>
      </c>
      <c r="N140" s="23">
        <f>SUMPRODUCT(H140:K140,Portfolio!$B$23:$E$23)</f>
        <v>-9.0247240343696543E-3</v>
      </c>
      <c r="O140" s="23">
        <f>SUMPRODUCT(H140:K140,Portfolio!$B$24:$E$24)</f>
        <v>7.5196299878899715E-4</v>
      </c>
      <c r="Q140" s="21">
        <f t="shared" si="19"/>
        <v>130.5600922305963</v>
      </c>
      <c r="R140" s="21">
        <f t="shared" si="20"/>
        <v>133.5480104614235</v>
      </c>
      <c r="S140" s="22">
        <f>Q140/MAX(Q$6:Q140)-1</f>
        <v>-2.4174259097683892E-2</v>
      </c>
      <c r="T140" s="22">
        <f>R140/MAX(R$6:R140)-1</f>
        <v>-2.9233035944650321E-2</v>
      </c>
    </row>
    <row r="141" spans="1:20" x14ac:dyDescent="0.2">
      <c r="A141" s="18">
        <v>43609</v>
      </c>
      <c r="B141" s="19">
        <v>338.78</v>
      </c>
      <c r="C141" s="19">
        <v>105.06</v>
      </c>
      <c r="D141" s="19">
        <v>49.61</v>
      </c>
      <c r="E141" s="19">
        <v>2.17</v>
      </c>
      <c r="F141" s="20">
        <v>2826.06</v>
      </c>
      <c r="H141" s="23">
        <f t="shared" si="14"/>
        <v>2.337347258794642E-3</v>
      </c>
      <c r="I141" s="23">
        <f t="shared" si="15"/>
        <v>-1.6200018728345422E-2</v>
      </c>
      <c r="J141" s="23">
        <f t="shared" si="16"/>
        <v>8.3333333333333037E-3</v>
      </c>
      <c r="K141" s="23">
        <f>E140/100/Inputs!$B$17-'Valuation and Bond'!$B$44*(E141-E140)/100+0.5*'Valuation and Bond'!$B$45*((E141-E140)/100)^2</f>
        <v>8.569605580361901E-4</v>
      </c>
      <c r="L141" s="23">
        <f t="shared" si="17"/>
        <v>-1.170472070585038E-2</v>
      </c>
      <c r="M141" s="23">
        <f t="shared" si="18"/>
        <v>-2.0524155569564711E-3</v>
      </c>
      <c r="N141" s="23">
        <f>SUMPRODUCT(H141:K141,Portfolio!$B$23:$E$23)</f>
        <v>-1.1680943945453215E-3</v>
      </c>
      <c r="O141" s="23">
        <f>SUMPRODUCT(H141:K141,Portfolio!$B$24:$E$24)</f>
        <v>1.3216858052401614E-3</v>
      </c>
      <c r="Q141" s="21">
        <f t="shared" si="19"/>
        <v>130.29212866618454</v>
      </c>
      <c r="R141" s="21">
        <f t="shared" si="20"/>
        <v>131.98486829815056</v>
      </c>
      <c r="S141" s="22">
        <f>Q141/MAX(Q$6:Q141)-1</f>
        <v>-2.617705902919043E-2</v>
      </c>
      <c r="T141" s="22">
        <f>R141/MAX(R$6:R141)-1</f>
        <v>-4.0595592129384461E-2</v>
      </c>
    </row>
    <row r="142" spans="1:20" x14ac:dyDescent="0.2">
      <c r="A142" s="18">
        <v>43616</v>
      </c>
      <c r="B142" s="19">
        <v>338.54</v>
      </c>
      <c r="C142" s="19">
        <v>104.31</v>
      </c>
      <c r="D142" s="19">
        <v>49.13</v>
      </c>
      <c r="E142" s="19">
        <v>2.02</v>
      </c>
      <c r="F142" s="20">
        <v>2752.06</v>
      </c>
      <c r="H142" s="23">
        <f t="shared" si="14"/>
        <v>-7.0842434618323402E-4</v>
      </c>
      <c r="I142" s="23">
        <f t="shared" si="15"/>
        <v>-7.1387778412336234E-3</v>
      </c>
      <c r="J142" s="23">
        <f t="shared" si="16"/>
        <v>-9.6754686555129421E-3</v>
      </c>
      <c r="K142" s="23">
        <f>E141/100/Inputs!$B$17-'Valuation and Bond'!$B$44*(E142-E141)/100+0.5*'Valuation and Bond'!$B$45*((E142-E141)/100)^2</f>
        <v>7.0069979079647746E-3</v>
      </c>
      <c r="L142" s="23">
        <f t="shared" si="17"/>
        <v>-2.6184865147944492E-2</v>
      </c>
      <c r="M142" s="23">
        <f t="shared" si="18"/>
        <v>-4.3137340031190376E-3</v>
      </c>
      <c r="N142" s="23">
        <f>SUMPRODUCT(H142:K142,Portfolio!$B$23:$E$23)</f>
        <v>-2.6289182337412564E-3</v>
      </c>
      <c r="O142" s="23">
        <f>SUMPRODUCT(H142:K142,Portfolio!$B$24:$E$24)</f>
        <v>-1.5107721548386736E-3</v>
      </c>
      <c r="Q142" s="21">
        <f t="shared" si="19"/>
        <v>129.73008308041847</v>
      </c>
      <c r="R142" s="21">
        <f t="shared" si="20"/>
        <v>128.52886232019426</v>
      </c>
      <c r="S142" s="22">
        <f>Q142/MAX(Q$6:Q142)-1</f>
        <v>-3.0377872162673625E-2</v>
      </c>
      <c r="T142" s="22">
        <f>R142/MAX(R$6:R142)-1</f>
        <v>-6.5717467171820143E-2</v>
      </c>
    </row>
    <row r="143" spans="1:20" x14ac:dyDescent="0.2">
      <c r="A143" s="18">
        <v>43623</v>
      </c>
      <c r="B143" s="19">
        <v>355.23</v>
      </c>
      <c r="C143" s="19">
        <v>111.17</v>
      </c>
      <c r="D143" s="19">
        <v>51.49</v>
      </c>
      <c r="E143" s="19">
        <v>1.86</v>
      </c>
      <c r="F143" s="20">
        <v>2873.34</v>
      </c>
      <c r="H143" s="23">
        <f t="shared" si="14"/>
        <v>4.9299935015064689E-2</v>
      </c>
      <c r="I143" s="23">
        <f t="shared" si="15"/>
        <v>6.5765506662831985E-2</v>
      </c>
      <c r="J143" s="23">
        <f t="shared" si="16"/>
        <v>4.8035823325870197E-2</v>
      </c>
      <c r="K143" s="23">
        <f>E142/100/Inputs!$B$17-'Valuation and Bond'!$B$44*(E143-E142)/100+0.5*'Valuation and Bond'!$B$45*((E143-E142)/100)^2</f>
        <v>7.4192734548634504E-3</v>
      </c>
      <c r="L143" s="23">
        <f t="shared" si="17"/>
        <v>4.4068806639390168E-2</v>
      </c>
      <c r="M143" s="23">
        <f t="shared" si="18"/>
        <v>4.5930803651684511E-2</v>
      </c>
      <c r="N143" s="23">
        <f>SUMPRODUCT(H143:K143,Portfolio!$B$23:$E$23)</f>
        <v>4.2630134614657582E-2</v>
      </c>
      <c r="O143" s="23">
        <f>SUMPRODUCT(H143:K143,Portfolio!$B$24:$E$24)</f>
        <v>3.4299557448018408E-2</v>
      </c>
      <c r="Q143" s="21">
        <f t="shared" si="19"/>
        <v>135.6886900541019</v>
      </c>
      <c r="R143" s="21">
        <f t="shared" si="20"/>
        <v>134.1929759013637</v>
      </c>
      <c r="S143" s="22">
        <f>Q143/MAX(Q$6:Q143)-1</f>
        <v>0</v>
      </c>
      <c r="T143" s="22">
        <f>R143/MAX(R$6:R143)-1</f>
        <v>-2.4544750886055455E-2</v>
      </c>
    </row>
    <row r="144" spans="1:20" x14ac:dyDescent="0.2">
      <c r="A144" s="18">
        <v>43630</v>
      </c>
      <c r="B144" s="19">
        <v>350.14</v>
      </c>
      <c r="C144" s="19">
        <v>107.31</v>
      </c>
      <c r="D144" s="19">
        <v>51.31</v>
      </c>
      <c r="E144" s="19">
        <v>1.88</v>
      </c>
      <c r="F144" s="20">
        <v>2886.98</v>
      </c>
      <c r="H144" s="23">
        <f t="shared" si="14"/>
        <v>-1.4328744756918144E-2</v>
      </c>
      <c r="I144" s="23">
        <f t="shared" si="15"/>
        <v>-3.4721597553296735E-2</v>
      </c>
      <c r="J144" s="23">
        <f t="shared" si="16"/>
        <v>-3.4958244319285292E-3</v>
      </c>
      <c r="K144" s="23">
        <f>E143/100/Inputs!$B$17-'Valuation and Bond'!$B$44*(E144-E143)/100+0.5*'Valuation and Bond'!$B$45*((E144-E143)/100)^2</f>
        <v>-5.1708888753062134E-4</v>
      </c>
      <c r="L144" s="23">
        <f t="shared" si="17"/>
        <v>4.7470887538543227E-3</v>
      </c>
      <c r="M144" s="23">
        <f t="shared" si="18"/>
        <v>-1.4639944396161579E-2</v>
      </c>
      <c r="N144" s="23">
        <f>SUMPRODUCT(H144:K144,Portfolio!$B$23:$E$23)</f>
        <v>-1.3265813907418508E-2</v>
      </c>
      <c r="O144" s="23">
        <f>SUMPRODUCT(H144:K144,Portfolio!$B$24:$E$24)</f>
        <v>-7.8349860053296763E-3</v>
      </c>
      <c r="Q144" s="21">
        <f t="shared" si="19"/>
        <v>133.70221517652183</v>
      </c>
      <c r="R144" s="21">
        <f t="shared" si="20"/>
        <v>134.83000186811131</v>
      </c>
      <c r="S144" s="22">
        <f>Q144/MAX(Q$6:Q144)-1</f>
        <v>-1.4639944396161675E-2</v>
      </c>
      <c r="T144" s="22">
        <f>R144/MAX(R$6:R144)-1</f>
        <v>-1.9914178243098379E-2</v>
      </c>
    </row>
    <row r="145" spans="1:20" x14ac:dyDescent="0.2">
      <c r="A145" s="18">
        <v>43637</v>
      </c>
      <c r="B145" s="19">
        <v>359.36</v>
      </c>
      <c r="C145" s="19">
        <v>112.32</v>
      </c>
      <c r="D145" s="19">
        <v>51.55</v>
      </c>
      <c r="E145" s="19">
        <v>1.8</v>
      </c>
      <c r="F145" s="20">
        <v>2950.46</v>
      </c>
      <c r="H145" s="23">
        <f t="shared" si="14"/>
        <v>2.6332324213171887E-2</v>
      </c>
      <c r="I145" s="23">
        <f t="shared" si="15"/>
        <v>4.6687168017891967E-2</v>
      </c>
      <c r="J145" s="23">
        <f t="shared" si="16"/>
        <v>4.6774507893196926E-3</v>
      </c>
      <c r="K145" s="23">
        <f>E144/100/Inputs!$B$17-'Valuation and Bond'!$B$44*(E145-E144)/100+0.5*'Valuation and Bond'!$B$45*((E145-E144)/100)^2</f>
        <v>3.8697083409353211E-3</v>
      </c>
      <c r="L145" s="23">
        <f t="shared" si="17"/>
        <v>2.1988375395742166E-2</v>
      </c>
      <c r="M145" s="23">
        <f t="shared" si="18"/>
        <v>2.1248379713732085E-2</v>
      </c>
      <c r="N145" s="23">
        <f>SUMPRODUCT(H145:K145,Portfolio!$B$23:$E$23)</f>
        <v>2.0391662840329717E-2</v>
      </c>
      <c r="O145" s="23">
        <f>SUMPRODUCT(H145:K145,Portfolio!$B$24:$E$24)</f>
        <v>1.2707753555363459E-2</v>
      </c>
      <c r="Q145" s="21">
        <f t="shared" si="19"/>
        <v>136.5431706131597</v>
      </c>
      <c r="R145" s="21">
        <f t="shared" si="20"/>
        <v>137.79469456379596</v>
      </c>
      <c r="S145" s="22">
        <f>Q145/MAX(Q$6:Q145)-1</f>
        <v>0</v>
      </c>
      <c r="T145" s="22">
        <f>R145/MAX(R$6:R145)-1</f>
        <v>0</v>
      </c>
    </row>
    <row r="146" spans="1:20" x14ac:dyDescent="0.2">
      <c r="A146" s="18">
        <v>43644</v>
      </c>
      <c r="B146" s="19">
        <v>363.54</v>
      </c>
      <c r="C146" s="19">
        <v>114.76</v>
      </c>
      <c r="D146" s="19">
        <v>50.92</v>
      </c>
      <c r="E146" s="19">
        <v>1.76</v>
      </c>
      <c r="F146" s="20">
        <v>2941.76</v>
      </c>
      <c r="H146" s="23">
        <f t="shared" si="14"/>
        <v>1.1631789848619789E-2</v>
      </c>
      <c r="I146" s="23">
        <f t="shared" si="15"/>
        <v>2.1723646723646794E-2</v>
      </c>
      <c r="J146" s="23">
        <f t="shared" si="16"/>
        <v>-1.2221144519883542E-2</v>
      </c>
      <c r="K146" s="23">
        <f>E145/100/Inputs!$B$17-'Valuation and Bond'!$B$44*(E146-E145)/100+0.5*'Valuation and Bond'!$B$45*((E146-E145)/100)^2</f>
        <v>2.0984297661512581E-3</v>
      </c>
      <c r="L146" s="23">
        <f t="shared" si="17"/>
        <v>-2.9486927462157864E-3</v>
      </c>
      <c r="M146" s="23">
        <f t="shared" si="18"/>
        <v>5.0050652515151207E-3</v>
      </c>
      <c r="N146" s="23">
        <f>SUMPRODUCT(H146:K146,Portfolio!$B$23:$E$23)</f>
        <v>5.8081804546335752E-3</v>
      </c>
      <c r="O146" s="23">
        <f>SUMPRODUCT(H146:K146,Portfolio!$B$24:$E$24)</f>
        <v>1.0756187952738732E-3</v>
      </c>
      <c r="Q146" s="21">
        <f t="shared" si="19"/>
        <v>137.22657809172733</v>
      </c>
      <c r="R146" s="21">
        <f t="shared" si="20"/>
        <v>137.38838034746868</v>
      </c>
      <c r="S146" s="22">
        <f>Q146/MAX(Q$6:Q146)-1</f>
        <v>0</v>
      </c>
      <c r="T146" s="22">
        <f>R146/MAX(R$6:R146)-1</f>
        <v>-2.9486927462156753E-3</v>
      </c>
    </row>
    <row r="147" spans="1:20" x14ac:dyDescent="0.2">
      <c r="A147" s="18">
        <v>43651</v>
      </c>
      <c r="B147" s="19">
        <v>369.92</v>
      </c>
      <c r="C147" s="19">
        <v>115.75</v>
      </c>
      <c r="D147" s="19">
        <v>52.11</v>
      </c>
      <c r="E147" s="19">
        <v>1.78</v>
      </c>
      <c r="F147" s="20">
        <v>2990.41</v>
      </c>
      <c r="H147" s="23">
        <f t="shared" si="14"/>
        <v>1.7549650657424198E-2</v>
      </c>
      <c r="I147" s="23">
        <f t="shared" si="15"/>
        <v>8.6266991983268149E-3</v>
      </c>
      <c r="J147" s="23">
        <f t="shared" si="16"/>
        <v>2.3369992144540497E-2</v>
      </c>
      <c r="K147" s="23">
        <f>E146/100/Inputs!$B$17-'Valuation and Bond'!$B$44*(E147-E146)/100+0.5*'Valuation and Bond'!$B$45*((E147-E146)/100)^2</f>
        <v>-5.3631965676140042E-4</v>
      </c>
      <c r="L147" s="23">
        <f t="shared" si="17"/>
        <v>1.6537718916566746E-2</v>
      </c>
      <c r="M147" s="23">
        <f t="shared" si="18"/>
        <v>1.2952247864986693E-2</v>
      </c>
      <c r="N147" s="23">
        <f>SUMPRODUCT(H147:K147,Portfolio!$B$23:$E$23)</f>
        <v>1.2252505585882527E-2</v>
      </c>
      <c r="O147" s="23">
        <f>SUMPRODUCT(H147:K147,Portfolio!$B$24:$E$24)</f>
        <v>1.1105213420251756E-2</v>
      </c>
      <c r="Q147" s="21">
        <f t="shared" si="19"/>
        <v>139.00397074483533</v>
      </c>
      <c r="R147" s="21">
        <f t="shared" si="20"/>
        <v>139.66047076405749</v>
      </c>
      <c r="S147" s="22">
        <f>Q147/MAX(Q$6:Q147)-1</f>
        <v>0</v>
      </c>
      <c r="T147" s="22">
        <f>R147/MAX(R$6:R147)-1</f>
        <v>0</v>
      </c>
    </row>
    <row r="148" spans="1:20" x14ac:dyDescent="0.2">
      <c r="A148" s="18">
        <v>43658</v>
      </c>
      <c r="B148" s="19">
        <v>369.45</v>
      </c>
      <c r="C148" s="19">
        <v>118.32</v>
      </c>
      <c r="D148" s="19">
        <v>52.12</v>
      </c>
      <c r="E148" s="19">
        <v>1.86</v>
      </c>
      <c r="F148" s="20">
        <v>3013.77</v>
      </c>
      <c r="H148" s="23">
        <f t="shared" si="14"/>
        <v>-1.2705449826990733E-3</v>
      </c>
      <c r="I148" s="23">
        <f t="shared" si="15"/>
        <v>2.2203023758099238E-2</v>
      </c>
      <c r="J148" s="23">
        <f t="shared" si="16"/>
        <v>1.9190174630590029E-4</v>
      </c>
      <c r="K148" s="23">
        <f>E147/100/Inputs!$B$17-'Valuation and Bond'!$B$44*(E148-E147)/100+0.5*'Valuation and Bond'!$B$45*((E148-E147)/100)^2</f>
        <v>-3.1513900294809949E-3</v>
      </c>
      <c r="L148" s="23">
        <f t="shared" si="17"/>
        <v>7.8116378690546995E-3</v>
      </c>
      <c r="M148" s="23">
        <f t="shared" si="18"/>
        <v>6.5931394634471639E-3</v>
      </c>
      <c r="N148" s="23">
        <f>SUMPRODUCT(H148:K148,Portfolio!$B$23:$E$23)</f>
        <v>4.4932476230562677E-3</v>
      </c>
      <c r="O148" s="23">
        <f>SUMPRODUCT(H148:K148,Portfolio!$B$24:$E$24)</f>
        <v>1.5803482069838386E-3</v>
      </c>
      <c r="Q148" s="21">
        <f t="shared" si="19"/>
        <v>139.92044330992894</v>
      </c>
      <c r="R148" s="21">
        <f t="shared" si="20"/>
        <v>140.751447786288</v>
      </c>
      <c r="S148" s="22">
        <f>Q148/MAX(Q$6:Q148)-1</f>
        <v>0</v>
      </c>
      <c r="T148" s="22">
        <f>R148/MAX(R$6:R148)-1</f>
        <v>0</v>
      </c>
    </row>
    <row r="149" spans="1:20" x14ac:dyDescent="0.2">
      <c r="A149" s="18">
        <v>43665</v>
      </c>
      <c r="B149" s="19">
        <v>356.96</v>
      </c>
      <c r="C149" s="19">
        <v>117.26</v>
      </c>
      <c r="D149" s="19">
        <v>51.39</v>
      </c>
      <c r="E149" s="19">
        <v>1.83</v>
      </c>
      <c r="F149" s="20">
        <v>2976.61</v>
      </c>
      <c r="H149" s="23">
        <f t="shared" si="14"/>
        <v>-3.3807010420895955E-2</v>
      </c>
      <c r="I149" s="23">
        <f t="shared" si="15"/>
        <v>-8.9587559161594665E-3</v>
      </c>
      <c r="J149" s="23">
        <f t="shared" si="16"/>
        <v>-1.400613967766684E-2</v>
      </c>
      <c r="K149" s="23">
        <f>E148/100/Inputs!$B$17-'Valuation and Bond'!$B$44*(E149-E148)/100+0.5*'Valuation and Bond'!$B$45*((E149-E148)/100)^2</f>
        <v>1.6715600564964248E-3</v>
      </c>
      <c r="L149" s="23">
        <f t="shared" si="17"/>
        <v>-1.2330071637848938E-2</v>
      </c>
      <c r="M149" s="23">
        <f t="shared" si="18"/>
        <v>-1.1828578463014612E-2</v>
      </c>
      <c r="N149" s="23">
        <f>SUMPRODUCT(H149:K149,Portfolio!$B$23:$E$23)</f>
        <v>-1.3775086489556458E-2</v>
      </c>
      <c r="O149" s="23">
        <f>SUMPRODUCT(H149:K149,Portfolio!$B$24:$E$24)</f>
        <v>-9.6191184127801897E-3</v>
      </c>
      <c r="Q149" s="21">
        <f t="shared" si="19"/>
        <v>138.26538336765765</v>
      </c>
      <c r="R149" s="21">
        <f t="shared" si="20"/>
        <v>139.01597235195212</v>
      </c>
      <c r="S149" s="22">
        <f>Q149/MAX(Q$6:Q149)-1</f>
        <v>-1.1828578463014661E-2</v>
      </c>
      <c r="T149" s="22">
        <f>R149/MAX(R$6:R149)-1</f>
        <v>-1.2330071637848938E-2</v>
      </c>
    </row>
    <row r="150" spans="1:20" x14ac:dyDescent="0.2">
      <c r="A150" s="18">
        <v>43672</v>
      </c>
      <c r="B150" s="19">
        <v>369.46</v>
      </c>
      <c r="C150" s="19">
        <v>128.16</v>
      </c>
      <c r="D150" s="19">
        <v>54.17</v>
      </c>
      <c r="E150" s="19">
        <v>1.83</v>
      </c>
      <c r="F150" s="20">
        <v>3025.86</v>
      </c>
      <c r="H150" s="23">
        <f t="shared" si="14"/>
        <v>3.5017929179740115E-2</v>
      </c>
      <c r="I150" s="23">
        <f t="shared" si="15"/>
        <v>9.2955824663141673E-2</v>
      </c>
      <c r="J150" s="23">
        <f t="shared" si="16"/>
        <v>5.4096127651294124E-2</v>
      </c>
      <c r="K150" s="23">
        <f>E149/100/Inputs!$B$17-'Valuation and Bond'!$B$44*(E150-E149)/100+0.5*'Valuation and Bond'!$B$45*((E150-E149)/100)^2</f>
        <v>3.5192307692307693E-4</v>
      </c>
      <c r="L150" s="23">
        <f t="shared" si="17"/>
        <v>1.6545667722677848E-2</v>
      </c>
      <c r="M150" s="23">
        <f t="shared" si="18"/>
        <v>5.3643125452848703E-2</v>
      </c>
      <c r="N150" s="23">
        <f>SUMPRODUCT(H150:K150,Portfolio!$B$23:$E$23)</f>
        <v>4.5605451142774749E-2</v>
      </c>
      <c r="O150" s="23">
        <f>SUMPRODUCT(H150:K150,Portfolio!$B$24:$E$24)</f>
        <v>3.5284289922931006E-2</v>
      </c>
      <c r="Q150" s="21">
        <f t="shared" si="19"/>
        <v>145.68237067343512</v>
      </c>
      <c r="R150" s="21">
        <f t="shared" si="20"/>
        <v>141.31608443863249</v>
      </c>
      <c r="S150" s="22">
        <f>Q150/MAX(Q$6:Q150)-1</f>
        <v>0</v>
      </c>
      <c r="T150" s="22">
        <f>R150/MAX(R$6:R150)-1</f>
        <v>0</v>
      </c>
    </row>
    <row r="151" spans="1:20" x14ac:dyDescent="0.2">
      <c r="A151" s="18">
        <v>43679</v>
      </c>
      <c r="B151" s="19">
        <v>361.91</v>
      </c>
      <c r="C151" s="19">
        <v>121.82</v>
      </c>
      <c r="D151" s="19">
        <v>52.33</v>
      </c>
      <c r="E151" s="19">
        <v>1.77</v>
      </c>
      <c r="F151" s="20">
        <v>2932.05</v>
      </c>
      <c r="H151" s="23">
        <f t="shared" si="14"/>
        <v>-2.0435229794835585E-2</v>
      </c>
      <c r="I151" s="23">
        <f t="shared" si="15"/>
        <v>-4.9469413233458215E-2</v>
      </c>
      <c r="J151" s="23">
        <f t="shared" si="16"/>
        <v>-3.3967140483662561E-2</v>
      </c>
      <c r="K151" s="23">
        <f>E150/100/Inputs!$B$17-'Valuation and Bond'!$B$44*(E151-E150)/100+0.5*'Valuation and Bond'!$B$45*((E151-E150)/100)^2</f>
        <v>2.9816937216949617E-3</v>
      </c>
      <c r="L151" s="23">
        <f t="shared" si="17"/>
        <v>-3.1002756241200857E-2</v>
      </c>
      <c r="M151" s="23">
        <f t="shared" si="18"/>
        <v>-2.990014548375405E-2</v>
      </c>
      <c r="N151" s="23">
        <f>SUMPRODUCT(H151:K151,Portfolio!$B$23:$E$23)</f>
        <v>-2.522252244756535E-2</v>
      </c>
      <c r="O151" s="23">
        <f>SUMPRODUCT(H151:K151,Portfolio!$B$24:$E$24)</f>
        <v>-1.9495844425802704E-2</v>
      </c>
      <c r="Q151" s="21">
        <f t="shared" si="19"/>
        <v>141.32644659588121</v>
      </c>
      <c r="R151" s="21">
        <f t="shared" si="20"/>
        <v>136.93489631982061</v>
      </c>
      <c r="S151" s="22">
        <f>Q151/MAX(Q$6:Q151)-1</f>
        <v>-2.9900145483754192E-2</v>
      </c>
      <c r="T151" s="22">
        <f>R151/MAX(R$6:R151)-1</f>
        <v>-3.1002756241200857E-2</v>
      </c>
    </row>
    <row r="152" spans="1:20" x14ac:dyDescent="0.2">
      <c r="A152" s="18">
        <v>43686</v>
      </c>
      <c r="B152" s="19">
        <v>377.01</v>
      </c>
      <c r="C152" s="19">
        <v>120.61</v>
      </c>
      <c r="D152" s="19">
        <v>53.42</v>
      </c>
      <c r="E152" s="19">
        <v>1.54</v>
      </c>
      <c r="F152" s="20">
        <v>2918.65</v>
      </c>
      <c r="H152" s="23">
        <f t="shared" si="14"/>
        <v>4.1723080323837314E-2</v>
      </c>
      <c r="I152" s="23">
        <f t="shared" si="15"/>
        <v>-9.9326875718271923E-3</v>
      </c>
      <c r="J152" s="23">
        <f t="shared" si="16"/>
        <v>2.0829352188037609E-2</v>
      </c>
      <c r="K152" s="23">
        <f>E151/100/Inputs!$B$17-'Valuation and Bond'!$B$44*(E152-E151)/100+0.5*'Valuation and Bond'!$B$45*((E152-E151)/100)^2</f>
        <v>1.0465380005953909E-2</v>
      </c>
      <c r="L152" s="23">
        <f t="shared" si="17"/>
        <v>-4.5701812724885382E-3</v>
      </c>
      <c r="M152" s="23">
        <f t="shared" si="18"/>
        <v>1.1373503608858946E-2</v>
      </c>
      <c r="N152" s="23">
        <f>SUMPRODUCT(H152:K152,Portfolio!$B$23:$E$23)</f>
        <v>1.5771281236500411E-2</v>
      </c>
      <c r="O152" s="23">
        <f>SUMPRODUCT(H152:K152,Portfolio!$B$24:$E$24)</f>
        <v>1.5304070807702611E-2</v>
      </c>
      <c r="Q152" s="21">
        <f t="shared" si="19"/>
        <v>142.93382344626667</v>
      </c>
      <c r="R152" s="21">
        <f t="shared" si="20"/>
        <v>136.3090790211096</v>
      </c>
      <c r="S152" s="22">
        <f>Q152/MAX(Q$6:Q152)-1</f>
        <v>-1.8866711287460092E-2</v>
      </c>
      <c r="T152" s="22">
        <f>R152/MAX(R$6:R152)-1</f>
        <v>-3.5431249297720346E-2</v>
      </c>
    </row>
    <row r="153" spans="1:20" x14ac:dyDescent="0.2">
      <c r="A153" s="18">
        <v>43693</v>
      </c>
      <c r="B153" s="19">
        <v>377</v>
      </c>
      <c r="C153" s="19">
        <v>122.82</v>
      </c>
      <c r="D153" s="19">
        <v>54.41</v>
      </c>
      <c r="E153" s="19">
        <v>1.48</v>
      </c>
      <c r="F153" s="20">
        <v>2888.68</v>
      </c>
      <c r="H153" s="23">
        <f t="shared" si="14"/>
        <v>-2.6524495371438306E-5</v>
      </c>
      <c r="I153" s="23">
        <f t="shared" si="15"/>
        <v>1.8323522096011846E-2</v>
      </c>
      <c r="J153" s="23">
        <f t="shared" si="16"/>
        <v>1.8532384874578645E-2</v>
      </c>
      <c r="K153" s="23">
        <f>E152/100/Inputs!$B$17-'Valuation and Bond'!$B$44*(E153-E152)/100+0.5*'Valuation and Bond'!$B$45*((E153-E152)/100)^2</f>
        <v>2.9259244909257309E-3</v>
      </c>
      <c r="L153" s="23">
        <f t="shared" si="17"/>
        <v>-1.0268446028129485E-2</v>
      </c>
      <c r="M153" s="23">
        <f t="shared" si="18"/>
        <v>1.2883112589402633E-2</v>
      </c>
      <c r="N153" s="23">
        <f>SUMPRODUCT(H153:K153,Portfolio!$B$23:$E$23)</f>
        <v>9.9388267415361966E-3</v>
      </c>
      <c r="O153" s="23">
        <f>SUMPRODUCT(H153:K153,Portfolio!$B$24:$E$24)</f>
        <v>9.8699038714486678E-3</v>
      </c>
      <c r="Q153" s="21">
        <f t="shared" si="19"/>
        <v>144.77525598655873</v>
      </c>
      <c r="R153" s="21">
        <f t="shared" si="20"/>
        <v>134.9093966000373</v>
      </c>
      <c r="S153" s="22">
        <f>Q153/MAX(Q$6:Q153)-1</f>
        <v>-6.2266606637655375E-3</v>
      </c>
      <c r="T153" s="22">
        <f>R153/MAX(R$6:R153)-1</f>
        <v>-4.533587145472695E-2</v>
      </c>
    </row>
    <row r="154" spans="1:20" x14ac:dyDescent="0.2">
      <c r="A154" s="18">
        <v>43700</v>
      </c>
      <c r="B154" s="19">
        <v>376.89</v>
      </c>
      <c r="C154" s="19">
        <v>120.29</v>
      </c>
      <c r="D154" s="19">
        <v>53.74</v>
      </c>
      <c r="E154" s="19">
        <v>1.45</v>
      </c>
      <c r="F154" s="20">
        <v>2847.11</v>
      </c>
      <c r="H154" s="23">
        <f t="shared" si="14"/>
        <v>-2.917771883289566E-4</v>
      </c>
      <c r="I154" s="23">
        <f t="shared" si="15"/>
        <v>-2.0599250936329527E-2</v>
      </c>
      <c r="J154" s="23">
        <f t="shared" si="16"/>
        <v>-1.2313912883661016E-2</v>
      </c>
      <c r="K154" s="23">
        <f>E153/100/Inputs!$B$17-'Valuation and Bond'!$B$44*(E154-E153)/100+0.5*'Valuation and Bond'!$B$45*((E154-E153)/100)^2</f>
        <v>1.5984831334195017E-3</v>
      </c>
      <c r="L154" s="23">
        <f t="shared" si="17"/>
        <v>-1.4390655939737096E-2</v>
      </c>
      <c r="M154" s="23">
        <f t="shared" si="18"/>
        <v>-1.0672662257994025E-2</v>
      </c>
      <c r="N154" s="23">
        <f>SUMPRODUCT(H154:K154,Portfolio!$B$23:$E$23)</f>
        <v>-7.9016144687249993E-3</v>
      </c>
      <c r="O154" s="23">
        <f>SUMPRODUCT(H154:K154,Portfolio!$B$24:$E$24)</f>
        <v>-6.2962799438738169E-3</v>
      </c>
      <c r="Q154" s="21">
        <f t="shared" si="19"/>
        <v>143.23011857609956</v>
      </c>
      <c r="R154" s="21">
        <f t="shared" si="20"/>
        <v>132.96796189052861</v>
      </c>
      <c r="S154" s="22">
        <f>Q154/MAX(Q$6:Q154)-1</f>
        <v>-1.683286787550009E-2</v>
      </c>
      <c r="T154" s="22">
        <f>R154/MAX(R$6:R154)-1</f>
        <v>-5.9074114466631023E-2</v>
      </c>
    </row>
    <row r="155" spans="1:20" x14ac:dyDescent="0.2">
      <c r="A155" s="18">
        <v>43707</v>
      </c>
      <c r="B155" s="19">
        <v>384.11</v>
      </c>
      <c r="C155" s="19">
        <v>123.75</v>
      </c>
      <c r="D155" s="19">
        <v>55.04</v>
      </c>
      <c r="E155" s="19">
        <v>1.4</v>
      </c>
      <c r="F155" s="20">
        <v>2926.46</v>
      </c>
      <c r="H155" s="23">
        <f t="shared" si="14"/>
        <v>1.9156783146276224E-2</v>
      </c>
      <c r="I155" s="23">
        <f t="shared" si="15"/>
        <v>2.8763820766480874E-2</v>
      </c>
      <c r="J155" s="23">
        <f t="shared" si="16"/>
        <v>2.4190547078526192E-2</v>
      </c>
      <c r="K155" s="23">
        <f>E154/100/Inputs!$B$17-'Valuation and Bond'!$B$44*(E155-E154)/100+0.5*'Valuation and Bond'!$B$45*((E155-E154)/100)^2</f>
        <v>2.4697563724994883E-3</v>
      </c>
      <c r="L155" s="23">
        <f t="shared" si="17"/>
        <v>2.7870366792993595E-2</v>
      </c>
      <c r="M155" s="23">
        <f t="shared" si="18"/>
        <v>2.0688595533322775E-2</v>
      </c>
      <c r="N155" s="23">
        <f>SUMPRODUCT(H155:K155,Portfolio!$B$23:$E$23)</f>
        <v>1.8645226840945696E-2</v>
      </c>
      <c r="O155" s="23">
        <f>SUMPRODUCT(H155:K155,Portfolio!$B$24:$E$24)</f>
        <v>1.5458880061533689E-2</v>
      </c>
      <c r="Q155" s="21">
        <f t="shared" si="19"/>
        <v>146.19334856751033</v>
      </c>
      <c r="R155" s="21">
        <f t="shared" si="20"/>
        <v>136.67382776013443</v>
      </c>
      <c r="S155" s="22">
        <f>Q155/MAX(Q$6:Q155)-1</f>
        <v>0</v>
      </c>
      <c r="T155" s="22">
        <f>R155/MAX(R$6:R155)-1</f>
        <v>-3.2850164911793822E-2</v>
      </c>
    </row>
    <row r="156" spans="1:20" x14ac:dyDescent="0.2">
      <c r="A156" s="18">
        <v>43714</v>
      </c>
      <c r="B156" s="19">
        <v>386.56</v>
      </c>
      <c r="C156" s="19">
        <v>127.09</v>
      </c>
      <c r="D156" s="19">
        <v>55.23</v>
      </c>
      <c r="E156" s="19">
        <v>1.38</v>
      </c>
      <c r="F156" s="20">
        <v>2978.71</v>
      </c>
      <c r="H156" s="23">
        <f t="shared" si="14"/>
        <v>6.3783811928874723E-3</v>
      </c>
      <c r="I156" s="23">
        <f t="shared" si="15"/>
        <v>2.6989898989899119E-2</v>
      </c>
      <c r="J156" s="23">
        <f t="shared" si="16"/>
        <v>3.4520348837208115E-3</v>
      </c>
      <c r="K156" s="23">
        <f>E155/100/Inputs!$B$17-'Valuation and Bond'!$B$44*(E156-E155)/100+0.5*'Valuation and Bond'!$B$45*((E156-E155)/100)^2</f>
        <v>1.1449164743042195E-3</v>
      </c>
      <c r="L156" s="23">
        <f t="shared" si="17"/>
        <v>1.7854335955386436E-2</v>
      </c>
      <c r="M156" s="23">
        <f t="shared" si="18"/>
        <v>1.1145847242840918E-2</v>
      </c>
      <c r="N156" s="23">
        <f>SUMPRODUCT(H156:K156,Portfolio!$B$23:$E$23)</f>
        <v>9.4913078852029049E-3</v>
      </c>
      <c r="O156" s="23">
        <f>SUMPRODUCT(H156:K156,Portfolio!$B$24:$E$24)</f>
        <v>6.0228067668637655E-3</v>
      </c>
      <c r="Q156" s="21">
        <f t="shared" si="19"/>
        <v>147.82279729856319</v>
      </c>
      <c r="R156" s="21">
        <f t="shared" si="20"/>
        <v>139.1140481972725</v>
      </c>
      <c r="S156" s="22">
        <f>Q156/MAX(Q$6:Q156)-1</f>
        <v>0</v>
      </c>
      <c r="T156" s="22">
        <f>R156/MAX(R$6:R156)-1</f>
        <v>-1.5582346836932381E-2</v>
      </c>
    </row>
    <row r="157" spans="1:20" x14ac:dyDescent="0.2">
      <c r="A157" s="18">
        <v>43721</v>
      </c>
      <c r="B157" s="19">
        <v>384.86</v>
      </c>
      <c r="C157" s="19">
        <v>129.61000000000001</v>
      </c>
      <c r="D157" s="19">
        <v>54.26</v>
      </c>
      <c r="E157" s="19">
        <v>1.61</v>
      </c>
      <c r="F157" s="20">
        <v>3007.39</v>
      </c>
      <c r="H157" s="23">
        <f t="shared" si="14"/>
        <v>-4.3977649006622377E-3</v>
      </c>
      <c r="I157" s="23">
        <f t="shared" si="15"/>
        <v>1.9828468014792655E-2</v>
      </c>
      <c r="J157" s="23">
        <f t="shared" si="16"/>
        <v>-1.7562918703603048E-2</v>
      </c>
      <c r="K157" s="23">
        <f>E156/100/Inputs!$B$17-'Valuation and Bond'!$B$44*(E157-E156)/100+0.5*'Valuation and Bond'!$B$45*((E157-E156)/100)^2</f>
        <v>-9.7399893474545574E-3</v>
      </c>
      <c r="L157" s="23">
        <f t="shared" si="17"/>
        <v>9.6283290417662482E-3</v>
      </c>
      <c r="M157" s="23">
        <f t="shared" si="18"/>
        <v>-1.9147923364131103E-3</v>
      </c>
      <c r="N157" s="23">
        <f>SUMPRODUCT(H157:K157,Portfolio!$B$23:$E$23)</f>
        <v>-2.9680512342317969E-3</v>
      </c>
      <c r="O157" s="23">
        <f>SUMPRODUCT(H157:K157,Portfolio!$B$24:$E$24)</f>
        <v>-7.7861390344289901E-3</v>
      </c>
      <c r="Q157" s="21">
        <f t="shared" si="19"/>
        <v>147.53974733914876</v>
      </c>
      <c r="R157" s="21">
        <f t="shared" si="20"/>
        <v>140.45348402764796</v>
      </c>
      <c r="S157" s="22">
        <f>Q157/MAX(Q$6:Q157)-1</f>
        <v>-1.9147923364130071E-3</v>
      </c>
      <c r="T157" s="22">
        <f>R157/MAX(R$6:R157)-1</f>
        <v>-6.1040497577550257E-3</v>
      </c>
    </row>
    <row r="158" spans="1:20" x14ac:dyDescent="0.2">
      <c r="A158" s="18">
        <v>43728</v>
      </c>
      <c r="B158" s="19">
        <v>388.25</v>
      </c>
      <c r="C158" s="19">
        <v>126.67</v>
      </c>
      <c r="D158" s="19">
        <v>53.91</v>
      </c>
      <c r="E158" s="19">
        <v>1.66</v>
      </c>
      <c r="F158" s="20">
        <v>2992.07</v>
      </c>
      <c r="H158" s="23">
        <f t="shared" si="14"/>
        <v>8.8083978589617029E-3</v>
      </c>
      <c r="I158" s="23">
        <f t="shared" si="15"/>
        <v>-2.2683434920145129E-2</v>
      </c>
      <c r="J158" s="23">
        <f t="shared" si="16"/>
        <v>-6.4504238849981688E-3</v>
      </c>
      <c r="K158" s="23">
        <f>E157/100/Inputs!$B$17-'Valuation and Bond'!$B$44*(E158-E157)/100+0.5*'Valuation and Bond'!$B$45*((E158-E157)/100)^2</f>
        <v>-1.8756416474722439E-3</v>
      </c>
      <c r="L158" s="23">
        <f t="shared" si="17"/>
        <v>-5.0941181556098947E-3</v>
      </c>
      <c r="M158" s="23">
        <f t="shared" si="18"/>
        <v>-8.8705671980167967E-3</v>
      </c>
      <c r="N158" s="23">
        <f>SUMPRODUCT(H158:K158,Portfolio!$B$23:$E$23)</f>
        <v>-5.5502756484134596E-3</v>
      </c>
      <c r="O158" s="23">
        <f>SUMPRODUCT(H158:K158,Portfolio!$B$24:$E$24)</f>
        <v>-4.8028995282448292E-3</v>
      </c>
      <c r="Q158" s="21">
        <f t="shared" si="19"/>
        <v>146.23098609599842</v>
      </c>
      <c r="R158" s="21">
        <f t="shared" si="20"/>
        <v>139.73799738464405</v>
      </c>
      <c r="S158" s="22">
        <f>Q158/MAX(Q$6:Q158)-1</f>
        <v>-1.0768374240339496E-2</v>
      </c>
      <c r="T158" s="22">
        <f>R158/MAX(R$6:R158)-1</f>
        <v>-1.1167073162671293E-2</v>
      </c>
    </row>
    <row r="159" spans="1:20" x14ac:dyDescent="0.2">
      <c r="A159" s="18">
        <v>43735</v>
      </c>
      <c r="B159" s="19">
        <v>387.87</v>
      </c>
      <c r="C159" s="19">
        <v>127.14</v>
      </c>
      <c r="D159" s="19">
        <v>54.31</v>
      </c>
      <c r="E159" s="19">
        <v>1.57</v>
      </c>
      <c r="F159" s="20">
        <v>2961.79</v>
      </c>
      <c r="H159" s="23">
        <f t="shared" si="14"/>
        <v>-9.7875080489373545E-4</v>
      </c>
      <c r="I159" s="23">
        <f t="shared" si="15"/>
        <v>3.7104286729296998E-3</v>
      </c>
      <c r="J159" s="23">
        <f t="shared" si="16"/>
        <v>7.4197736969023875E-3</v>
      </c>
      <c r="K159" s="23">
        <f>E158/100/Inputs!$B$17-'Valuation and Bond'!$B$44*(E159-E158)/100+0.5*'Valuation and Bond'!$B$45*((E159-E158)/100)^2</f>
        <v>4.2669394571340632E-3</v>
      </c>
      <c r="L159" s="23">
        <f t="shared" si="17"/>
        <v>-1.0120084088941828E-2</v>
      </c>
      <c r="M159" s="23">
        <f t="shared" si="18"/>
        <v>4.4523184945497504E-3</v>
      </c>
      <c r="N159" s="23">
        <f>SUMPRODUCT(H159:K159,Portfolio!$B$23:$E$23)</f>
        <v>3.604597755518104E-3</v>
      </c>
      <c r="O159" s="23">
        <f>SUMPRODUCT(H159:K159,Portfolio!$B$24:$E$24)</f>
        <v>4.5849529115395537E-3</v>
      </c>
      <c r="Q159" s="21">
        <f t="shared" si="19"/>
        <v>146.88205301986989</v>
      </c>
      <c r="R159" s="21">
        <f t="shared" si="20"/>
        <v>138.32383710069112</v>
      </c>
      <c r="S159" s="22">
        <f>Q159/MAX(Q$6:Q159)-1</f>
        <v>-6.3639999775761957E-3</v>
      </c>
      <c r="T159" s="22">
        <f>R159/MAX(R$6:R159)-1</f>
        <v>-2.1174145532179445E-2</v>
      </c>
    </row>
    <row r="160" spans="1:20" x14ac:dyDescent="0.2">
      <c r="A160" s="18">
        <v>43742</v>
      </c>
      <c r="B160" s="19">
        <v>384.95</v>
      </c>
      <c r="C160" s="19">
        <v>130.13999999999999</v>
      </c>
      <c r="D160" s="19">
        <v>54.54</v>
      </c>
      <c r="E160" s="19">
        <v>1.43</v>
      </c>
      <c r="F160" s="20">
        <v>2952.01</v>
      </c>
      <c r="H160" s="23">
        <f t="shared" si="14"/>
        <v>-7.5282955629464299E-3</v>
      </c>
      <c r="I160" s="23">
        <f t="shared" si="15"/>
        <v>2.3596035865974363E-2</v>
      </c>
      <c r="J160" s="23">
        <f t="shared" si="16"/>
        <v>4.2349475234761957E-3</v>
      </c>
      <c r="K160" s="23">
        <f>E159/100/Inputs!$B$17-'Valuation and Bond'!$B$44*(E160-E159)/100+0.5*'Valuation and Bond'!$B$45*((E160-E159)/100)^2</f>
        <v>6.4507177192979683E-3</v>
      </c>
      <c r="L160" s="23">
        <f t="shared" si="17"/>
        <v>-3.3020572018946925E-3</v>
      </c>
      <c r="M160" s="23">
        <f t="shared" si="18"/>
        <v>9.5086310067139471E-3</v>
      </c>
      <c r="N160" s="23">
        <f>SUMPRODUCT(H160:K160,Portfolio!$B$23:$E$23)</f>
        <v>6.6883513864505247E-3</v>
      </c>
      <c r="O160" s="23">
        <f>SUMPRODUCT(H160:K160,Portfolio!$B$24:$E$24)</f>
        <v>6.1683816645117864E-3</v>
      </c>
      <c r="Q160" s="21">
        <f t="shared" si="19"/>
        <v>148.27870026354441</v>
      </c>
      <c r="R160" s="21">
        <f t="shared" si="20"/>
        <v>137.86708387819908</v>
      </c>
      <c r="S160" s="22">
        <f>Q160/MAX(Q$6:Q160)-1</f>
        <v>0</v>
      </c>
      <c r="T160" s="22">
        <f>R160/MAX(R$6:R160)-1</f>
        <v>-2.4406284494325581E-2</v>
      </c>
    </row>
    <row r="161" spans="1:20" x14ac:dyDescent="0.2">
      <c r="A161" s="18">
        <v>43749</v>
      </c>
      <c r="B161" s="19">
        <v>381.47</v>
      </c>
      <c r="C161" s="19">
        <v>130.09</v>
      </c>
      <c r="D161" s="19">
        <v>53.3</v>
      </c>
      <c r="E161" s="19">
        <v>1.44</v>
      </c>
      <c r="F161" s="20">
        <v>2970.27</v>
      </c>
      <c r="H161" s="23">
        <f t="shared" si="14"/>
        <v>-9.0401350824781401E-3</v>
      </c>
      <c r="I161" s="23">
        <f t="shared" si="15"/>
        <v>-3.8420162901475763E-4</v>
      </c>
      <c r="J161" s="23">
        <f t="shared" si="16"/>
        <v>-2.2735606894022764E-2</v>
      </c>
      <c r="K161" s="23">
        <f>E160/100/Inputs!$B$17-'Valuation and Bond'!$B$44*(E161-E160)/100+0.5*'Valuation and Bond'!$B$45*((E161-E160)/100)^2</f>
        <v>-1.6250366134278334E-4</v>
      </c>
      <c r="L161" s="23">
        <f t="shared" si="17"/>
        <v>6.1856159023849777E-3</v>
      </c>
      <c r="M161" s="23">
        <f t="shared" si="18"/>
        <v>-9.0303724950044628E-3</v>
      </c>
      <c r="N161" s="23">
        <f>SUMPRODUCT(H161:K161,Portfolio!$B$23:$E$23)</f>
        <v>-8.0806118167146106E-3</v>
      </c>
      <c r="O161" s="23">
        <f>SUMPRODUCT(H161:K161,Portfolio!$B$24:$E$24)</f>
        <v>-8.9816932273556107E-3</v>
      </c>
      <c r="Q161" s="21">
        <f t="shared" si="19"/>
        <v>146.93968836708947</v>
      </c>
      <c r="R161" s="21">
        <f t="shared" si="20"/>
        <v>138.71987670465151</v>
      </c>
      <c r="S161" s="22">
        <f>Q161/MAX(Q$6:Q161)-1</f>
        <v>-9.0303724950044906E-3</v>
      </c>
      <c r="T161" s="22">
        <f>R161/MAX(R$6:R161)-1</f>
        <v>-1.8371636493426879E-2</v>
      </c>
    </row>
    <row r="162" spans="1:20" x14ac:dyDescent="0.2">
      <c r="A162" s="18">
        <v>43756</v>
      </c>
      <c r="B162" s="19">
        <v>372.48</v>
      </c>
      <c r="C162" s="19">
        <v>129.46</v>
      </c>
      <c r="D162" s="19">
        <v>54.78</v>
      </c>
      <c r="E162" s="19">
        <v>1.57</v>
      </c>
      <c r="F162" s="20">
        <v>2986.2</v>
      </c>
      <c r="H162" s="23">
        <f t="shared" si="14"/>
        <v>-2.3566728707368867E-2</v>
      </c>
      <c r="I162" s="23">
        <f t="shared" si="15"/>
        <v>-4.84280113767388E-3</v>
      </c>
      <c r="J162" s="23">
        <f t="shared" si="16"/>
        <v>2.7767354596623051E-2</v>
      </c>
      <c r="K162" s="23">
        <f>E161/100/Inputs!$B$17-'Valuation and Bond'!$B$44*(E162-E161)/100+0.5*'Valuation and Bond'!$B$45*((E162-E161)/100)^2</f>
        <v>-5.3929865784481364E-3</v>
      </c>
      <c r="L162" s="23">
        <f t="shared" si="17"/>
        <v>5.3631488046541609E-3</v>
      </c>
      <c r="M162" s="23">
        <f t="shared" si="18"/>
        <v>3.5721689315118981E-3</v>
      </c>
      <c r="N162" s="23">
        <f>SUMPRODUCT(H162:K162,Portfolio!$B$23:$E$23)</f>
        <v>-1.5087904567169582E-3</v>
      </c>
      <c r="O162" s="23">
        <f>SUMPRODUCT(H162:K162,Portfolio!$B$24:$E$24)</f>
        <v>3.5686701694891054E-3</v>
      </c>
      <c r="Q162" s="21">
        <f t="shared" si="19"/>
        <v>147.46458175668042</v>
      </c>
      <c r="R162" s="21">
        <f t="shared" si="20"/>
        <v>139.46385204558183</v>
      </c>
      <c r="S162" s="22">
        <f>Q162/MAX(Q$6:Q162)-1</f>
        <v>-5.490461579559347E-3</v>
      </c>
      <c r="T162" s="22">
        <f>R162/MAX(R$6:R162)-1</f>
        <v>-1.3107017509072061E-2</v>
      </c>
    </row>
    <row r="163" spans="1:20" x14ac:dyDescent="0.2">
      <c r="A163" s="18">
        <v>43763</v>
      </c>
      <c r="B163" s="19">
        <v>370.73</v>
      </c>
      <c r="C163" s="19">
        <v>120.51</v>
      </c>
      <c r="D163" s="19">
        <v>53.75</v>
      </c>
      <c r="E163" s="19">
        <v>1.6</v>
      </c>
      <c r="F163" s="20">
        <v>3022.55</v>
      </c>
      <c r="H163" s="23">
        <f t="shared" si="14"/>
        <v>-4.6982388316151313E-3</v>
      </c>
      <c r="I163" s="23">
        <f t="shared" si="15"/>
        <v>-6.913332303414188E-2</v>
      </c>
      <c r="J163" s="23">
        <f t="shared" si="16"/>
        <v>-1.8802482657904407E-2</v>
      </c>
      <c r="K163" s="23">
        <f>E162/100/Inputs!$B$17-'Valuation and Bond'!$B$44*(E163-E162)/100+0.5*'Valuation and Bond'!$B$45*((E163-E162)/100)^2</f>
        <v>-1.0099095247173894E-3</v>
      </c>
      <c r="L163" s="23">
        <f t="shared" si="17"/>
        <v>1.2172660906838217E-2</v>
      </c>
      <c r="M163" s="23">
        <f t="shared" si="18"/>
        <v>-2.9984333048442044E-2</v>
      </c>
      <c r="N163" s="23">
        <f>SUMPRODUCT(H163:K163,Portfolio!$B$23:$E$23)</f>
        <v>-2.3410988512094701E-2</v>
      </c>
      <c r="O163" s="23">
        <f>SUMPRODUCT(H163:K163,Portfolio!$B$24:$E$24)</f>
        <v>-1.6531219641234756E-2</v>
      </c>
      <c r="Q163" s="21">
        <f t="shared" si="19"/>
        <v>143.04295462443889</v>
      </c>
      <c r="R163" s="21">
        <f t="shared" si="20"/>
        <v>141.16149822529417</v>
      </c>
      <c r="S163" s="22">
        <f>Q163/MAX(Q$6:Q163)-1</f>
        <v>-3.5310166799410347E-2</v>
      </c>
      <c r="T163" s="22">
        <f>R163/MAX(R$6:R163)-1</f>
        <v>-1.0939038818715829E-3</v>
      </c>
    </row>
    <row r="164" spans="1:20" x14ac:dyDescent="0.2">
      <c r="A164" s="18">
        <v>43770</v>
      </c>
      <c r="B164" s="19">
        <v>379.17</v>
      </c>
      <c r="C164" s="19">
        <v>118.04</v>
      </c>
      <c r="D164" s="19">
        <v>53.9</v>
      </c>
      <c r="E164" s="19">
        <v>1.6</v>
      </c>
      <c r="F164" s="20">
        <v>3066.91</v>
      </c>
      <c r="H164" s="23">
        <f t="shared" si="14"/>
        <v>2.2765894316618462E-2</v>
      </c>
      <c r="I164" s="23">
        <f t="shared" si="15"/>
        <v>-2.0496224379719541E-2</v>
      </c>
      <c r="J164" s="23">
        <f t="shared" si="16"/>
        <v>2.7906976744185297E-3</v>
      </c>
      <c r="K164" s="23">
        <f>E163/100/Inputs!$B$17-'Valuation and Bond'!$B$44*(E164-E163)/100+0.5*'Valuation and Bond'!$B$45*((E164-E163)/100)^2</f>
        <v>3.076923076923077E-4</v>
      </c>
      <c r="L164" s="23">
        <f t="shared" si="17"/>
        <v>1.4676349440042147E-2</v>
      </c>
      <c r="M164" s="23">
        <f t="shared" si="18"/>
        <v>-2.7438741217007873E-3</v>
      </c>
      <c r="N164" s="23">
        <f>SUMPRODUCT(H164:K164,Portfolio!$B$23:$E$23)</f>
        <v>1.3420149797524396E-3</v>
      </c>
      <c r="O164" s="23">
        <f>SUMPRODUCT(H164:K164,Portfolio!$B$24:$E$24)</f>
        <v>1.2891098949397316E-3</v>
      </c>
      <c r="Q164" s="21">
        <f t="shared" si="19"/>
        <v>142.65046276295328</v>
      </c>
      <c r="R164" s="21">
        <f t="shared" si="20"/>
        <v>143.23323370072848</v>
      </c>
      <c r="S164" s="22">
        <f>Q164/MAX(Q$6:Q164)-1</f>
        <v>-3.7957154268197235E-2</v>
      </c>
      <c r="T164" s="22">
        <f>R164/MAX(R$6:R164)-1</f>
        <v>0</v>
      </c>
    </row>
    <row r="165" spans="1:20" x14ac:dyDescent="0.2">
      <c r="A165" s="18">
        <v>43777</v>
      </c>
      <c r="B165" s="19">
        <v>381.86</v>
      </c>
      <c r="C165" s="19">
        <v>120.11</v>
      </c>
      <c r="D165" s="19">
        <v>52.21</v>
      </c>
      <c r="E165" s="19">
        <v>1.67</v>
      </c>
      <c r="F165" s="20">
        <v>3093.08</v>
      </c>
      <c r="H165" s="23">
        <f t="shared" si="14"/>
        <v>7.0944431257746743E-3</v>
      </c>
      <c r="I165" s="23">
        <f t="shared" si="15"/>
        <v>1.7536428329379738E-2</v>
      </c>
      <c r="J165" s="23">
        <f t="shared" si="16"/>
        <v>-3.13543599257885E-2</v>
      </c>
      <c r="K165" s="23">
        <f>E164/100/Inputs!$B$17-'Valuation and Bond'!$B$44*(E165-E164)/100+0.5*'Valuation and Bond'!$B$45*((E165-E164)/100)^2</f>
        <v>-2.7500846449919811E-3</v>
      </c>
      <c r="L165" s="23">
        <f t="shared" si="17"/>
        <v>8.533018575699991E-3</v>
      </c>
      <c r="M165" s="23">
        <f t="shared" si="18"/>
        <v>-4.4050783410915567E-3</v>
      </c>
      <c r="N165" s="23">
        <f>SUMPRODUCT(H165:K165,Portfolio!$B$23:$E$23)</f>
        <v>-2.3683932789065171E-3</v>
      </c>
      <c r="O165" s="23">
        <f>SUMPRODUCT(H165:K165,Portfolio!$B$24:$E$24)</f>
        <v>-8.4834587351391259E-3</v>
      </c>
      <c r="Q165" s="21">
        <f t="shared" si="19"/>
        <v>142.02207629908949</v>
      </c>
      <c r="R165" s="21">
        <f t="shared" si="20"/>
        <v>144.45544554455438</v>
      </c>
      <c r="S165" s="22">
        <f>Q165/MAX(Q$6:Q165)-1</f>
        <v>-4.2195028371132537E-2</v>
      </c>
      <c r="T165" s="22">
        <f>R165/MAX(R$6:R165)-1</f>
        <v>0</v>
      </c>
    </row>
    <row r="166" spans="1:20" x14ac:dyDescent="0.2">
      <c r="A166" s="18">
        <v>43784</v>
      </c>
      <c r="B166" s="19">
        <v>393.55</v>
      </c>
      <c r="C166" s="19">
        <v>118</v>
      </c>
      <c r="D166" s="19">
        <v>52.67</v>
      </c>
      <c r="E166" s="19">
        <v>1.68</v>
      </c>
      <c r="F166" s="20">
        <v>3120.46</v>
      </c>
      <c r="H166" s="23">
        <f t="shared" si="14"/>
        <v>3.0613313779919382E-2</v>
      </c>
      <c r="I166" s="23">
        <f t="shared" si="15"/>
        <v>-1.7567230039130743E-2</v>
      </c>
      <c r="J166" s="23">
        <f t="shared" si="16"/>
        <v>8.8105726872247381E-3</v>
      </c>
      <c r="K166" s="23">
        <f>E165/100/Inputs!$B$17-'Valuation and Bond'!$B$44*(E166-E165)/100+0.5*'Valuation and Bond'!$B$45*((E166-E165)/100)^2</f>
        <v>-1.1634981518893723E-4</v>
      </c>
      <c r="L166" s="23">
        <f t="shared" si="17"/>
        <v>8.8520180532025705E-3</v>
      </c>
      <c r="M166" s="23">
        <f t="shared" si="18"/>
        <v>1.2093764818267346E-3</v>
      </c>
      <c r="N166" s="23">
        <f>SUMPRODUCT(H166:K166,Portfolio!$B$23:$E$23)</f>
        <v>5.4350766532061095E-3</v>
      </c>
      <c r="O166" s="23">
        <f>SUMPRODUCT(H166:K166,Portfolio!$B$24:$E$24)</f>
        <v>4.557755932138142E-3</v>
      </c>
      <c r="Q166" s="21">
        <f t="shared" si="19"/>
        <v>142.19383445806582</v>
      </c>
      <c r="R166" s="21">
        <f t="shared" si="20"/>
        <v>145.73416775639819</v>
      </c>
      <c r="S166" s="22">
        <f>Q166/MAX(Q$6:Q166)-1</f>
        <v>-4.1036681564267763E-2</v>
      </c>
      <c r="T166" s="22">
        <f>R166/MAX(R$6:R166)-1</f>
        <v>0</v>
      </c>
    </row>
    <row r="167" spans="1:20" x14ac:dyDescent="0.2">
      <c r="A167" s="18">
        <v>43791</v>
      </c>
      <c r="B167" s="19">
        <v>390.74</v>
      </c>
      <c r="C167" s="19">
        <v>117.01</v>
      </c>
      <c r="D167" s="19">
        <v>53.03</v>
      </c>
      <c r="E167" s="19">
        <v>1.62</v>
      </c>
      <c r="F167" s="20">
        <v>3110.29</v>
      </c>
      <c r="H167" s="23">
        <f t="shared" si="14"/>
        <v>-7.1401346715792569E-3</v>
      </c>
      <c r="I167" s="23">
        <f t="shared" si="15"/>
        <v>-8.3898305084745273E-3</v>
      </c>
      <c r="J167" s="23">
        <f t="shared" si="16"/>
        <v>6.8350104423771096E-3</v>
      </c>
      <c r="K167" s="23">
        <f>E166/100/Inputs!$B$17-'Valuation and Bond'!$B$44*(E167-E166)/100+0.5*'Valuation and Bond'!$B$45*((E167-E166)/100)^2</f>
        <v>2.9528475678487986E-3</v>
      </c>
      <c r="L167" s="23">
        <f t="shared" si="17"/>
        <v>-3.259134871140823E-3</v>
      </c>
      <c r="M167" s="23">
        <f t="shared" si="18"/>
        <v>-8.1732637390881109E-4</v>
      </c>
      <c r="N167" s="23">
        <f>SUMPRODUCT(H167:K167,Portfolio!$B$23:$E$23)</f>
        <v>-1.4355267924569689E-3</v>
      </c>
      <c r="O167" s="23">
        <f>SUMPRODUCT(H167:K167,Portfolio!$B$24:$E$24)</f>
        <v>1.4649801454840532E-3</v>
      </c>
      <c r="Q167" s="21">
        <f t="shared" si="19"/>
        <v>142.07761568695602</v>
      </c>
      <c r="R167" s="21">
        <f t="shared" si="20"/>
        <v>145.25920044834663</v>
      </c>
      <c r="S167" s="22">
        <f>Q167/MAX(Q$6:Q167)-1</f>
        <v>-4.1820467576036413E-2</v>
      </c>
      <c r="T167" s="22">
        <f>R167/MAX(R$6:R167)-1</f>
        <v>-3.259134871140823E-3</v>
      </c>
    </row>
    <row r="168" spans="1:20" x14ac:dyDescent="0.2">
      <c r="A168" s="18">
        <v>43798</v>
      </c>
      <c r="B168" s="19">
        <v>391.03</v>
      </c>
      <c r="C168" s="19">
        <v>120.21</v>
      </c>
      <c r="D168" s="19">
        <v>53.4</v>
      </c>
      <c r="E168" s="19">
        <v>1.61</v>
      </c>
      <c r="F168" s="20">
        <v>3140.98</v>
      </c>
      <c r="H168" s="23">
        <f t="shared" si="14"/>
        <v>7.4218150176585951E-4</v>
      </c>
      <c r="I168" s="23">
        <f t="shared" si="15"/>
        <v>2.7348089906845452E-2</v>
      </c>
      <c r="J168" s="23">
        <f t="shared" si="16"/>
        <v>6.9771827267584019E-3</v>
      </c>
      <c r="K168" s="23">
        <f>E167/100/Inputs!$B$17-'Valuation and Bond'!$B$44*(E168-E167)/100+0.5*'Valuation and Bond'!$B$45*((E168-E167)/100)^2</f>
        <v>7.4926825034387268E-4</v>
      </c>
      <c r="L168" s="23">
        <f t="shared" si="17"/>
        <v>9.8672471055754052E-3</v>
      </c>
      <c r="M168" s="23">
        <f t="shared" si="18"/>
        <v>1.1627861538592712E-2</v>
      </c>
      <c r="N168" s="23">
        <f>SUMPRODUCT(H168:K168,Portfolio!$B$23:$E$23)</f>
        <v>8.9541805964283971E-3</v>
      </c>
      <c r="O168" s="23">
        <f>SUMPRODUCT(H168:K168,Portfolio!$B$24:$E$24)</f>
        <v>6.3794333889345767E-3</v>
      </c>
      <c r="Q168" s="21">
        <f t="shared" si="19"/>
        <v>143.72967452989735</v>
      </c>
      <c r="R168" s="21">
        <f t="shared" si="20"/>
        <v>146.69250887352877</v>
      </c>
      <c r="S168" s="22">
        <f>Q168/MAX(Q$6:Q168)-1</f>
        <v>-3.0678888643897007E-2</v>
      </c>
      <c r="T168" s="22">
        <f>R168/MAX(R$6:R168)-1</f>
        <v>0</v>
      </c>
    </row>
    <row r="169" spans="1:20" x14ac:dyDescent="0.2">
      <c r="A169" s="18">
        <v>43805</v>
      </c>
      <c r="B169" s="19">
        <v>386.86</v>
      </c>
      <c r="C169" s="19">
        <v>122.37</v>
      </c>
      <c r="D169" s="19">
        <v>54.42</v>
      </c>
      <c r="E169" s="19">
        <v>1.62</v>
      </c>
      <c r="F169" s="20">
        <v>3145.91</v>
      </c>
      <c r="H169" s="23">
        <f t="shared" si="14"/>
        <v>-1.0664143416106109E-2</v>
      </c>
      <c r="I169" s="23">
        <f t="shared" si="15"/>
        <v>1.7968555028699873E-2</v>
      </c>
      <c r="J169" s="23">
        <f t="shared" si="16"/>
        <v>1.9101123595505642E-2</v>
      </c>
      <c r="K169" s="23">
        <f>E168/100/Inputs!$B$17-'Valuation and Bond'!$B$44*(E169-E168)/100+0.5*'Valuation and Bond'!$B$45*((E169-E168)/100)^2</f>
        <v>-1.2788827672739872E-4</v>
      </c>
      <c r="L169" s="23">
        <f t="shared" si="17"/>
        <v>1.5695738272767379E-3</v>
      </c>
      <c r="M169" s="23">
        <f t="shared" si="18"/>
        <v>1.0937675714974573E-2</v>
      </c>
      <c r="N169" s="23">
        <f>SUMPRODUCT(H169:K169,Portfolio!$B$23:$E$23)</f>
        <v>6.5694117328430023E-3</v>
      </c>
      <c r="O169" s="23">
        <f>SUMPRODUCT(H169:K169,Portfolio!$B$24:$E$24)</f>
        <v>7.4228238505705873E-3</v>
      </c>
      <c r="Q169" s="21">
        <f t="shared" si="19"/>
        <v>145.30174310052422</v>
      </c>
      <c r="R169" s="21">
        <f t="shared" si="20"/>
        <v>146.92275359611421</v>
      </c>
      <c r="S169" s="22">
        <f>Q169/MAX(Q$6:Q169)-1</f>
        <v>-2.0076768664205047E-2</v>
      </c>
      <c r="T169" s="22">
        <f>R169/MAX(R$6:R169)-1</f>
        <v>0</v>
      </c>
    </row>
    <row r="170" spans="1:20" x14ac:dyDescent="0.2">
      <c r="A170" s="18">
        <v>43812</v>
      </c>
      <c r="B170" s="19">
        <v>386.47</v>
      </c>
      <c r="C170" s="19">
        <v>126.64</v>
      </c>
      <c r="D170" s="19">
        <v>54.42</v>
      </c>
      <c r="E170" s="19">
        <v>1.68</v>
      </c>
      <c r="F170" s="20">
        <v>3168.8</v>
      </c>
      <c r="H170" s="23">
        <f t="shared" si="14"/>
        <v>-1.008116631339484E-3</v>
      </c>
      <c r="I170" s="23">
        <f t="shared" si="15"/>
        <v>3.4894173408515083E-2</v>
      </c>
      <c r="J170" s="23">
        <f t="shared" si="16"/>
        <v>0</v>
      </c>
      <c r="K170" s="23">
        <f>E169/100/Inputs!$B$17-'Valuation and Bond'!$B$44*(E170-E169)/100+0.5*'Valuation and Bond'!$B$45*((E170-E169)/100)^2</f>
        <v>-2.3100915945788113E-3</v>
      </c>
      <c r="L170" s="23">
        <f t="shared" si="17"/>
        <v>7.2761140655646095E-3</v>
      </c>
      <c r="M170" s="23">
        <f t="shared" si="18"/>
        <v>1.0919483452241734E-2</v>
      </c>
      <c r="N170" s="23">
        <f>SUMPRODUCT(H170:K170,Portfolio!$B$23:$E$23)</f>
        <v>7.8939912956491973E-3</v>
      </c>
      <c r="O170" s="23">
        <f>SUMPRODUCT(H170:K170,Portfolio!$B$24:$E$24)</f>
        <v>3.566005687676213E-3</v>
      </c>
      <c r="Q170" s="21">
        <f t="shared" si="19"/>
        <v>146.88836307989226</v>
      </c>
      <c r="R170" s="21">
        <f t="shared" si="20"/>
        <v>147.99178031010638</v>
      </c>
      <c r="S170" s="22">
        <f>Q170/MAX(Q$6:Q170)-1</f>
        <v>-9.3765131551667436E-3</v>
      </c>
      <c r="T170" s="22">
        <f>R170/MAX(R$6:R170)-1</f>
        <v>0</v>
      </c>
    </row>
    <row r="171" spans="1:20" x14ac:dyDescent="0.2">
      <c r="A171" s="18">
        <v>43819</v>
      </c>
      <c r="B171" s="19">
        <v>386.47</v>
      </c>
      <c r="C171" s="19">
        <v>128.94999999999999</v>
      </c>
      <c r="D171" s="19">
        <v>54.97</v>
      </c>
      <c r="E171" s="19">
        <v>1.73</v>
      </c>
      <c r="F171" s="20">
        <v>3221.22</v>
      </c>
      <c r="H171" s="23">
        <f t="shared" si="14"/>
        <v>0</v>
      </c>
      <c r="I171" s="23">
        <f t="shared" si="15"/>
        <v>1.8240682248894302E-2</v>
      </c>
      <c r="J171" s="23">
        <f t="shared" si="16"/>
        <v>1.010657846379992E-2</v>
      </c>
      <c r="K171" s="23">
        <f>E170/100/Inputs!$B$17-'Valuation and Bond'!$B$44*(E171-E170)/100+0.5*'Valuation and Bond'!$B$45*((E171-E170)/100)^2</f>
        <v>-1.8621801090107151E-3</v>
      </c>
      <c r="L171" s="23">
        <f t="shared" si="17"/>
        <v>1.6542539762686159E-2</v>
      </c>
      <c r="M171" s="23">
        <f t="shared" si="18"/>
        <v>9.0579593518654491E-3</v>
      </c>
      <c r="N171" s="23">
        <f>SUMPRODUCT(H171:K171,Portfolio!$B$23:$E$23)</f>
        <v>6.6212701509208768E-3</v>
      </c>
      <c r="O171" s="23">
        <f>SUMPRODUCT(H171:K171,Portfolio!$B$24:$E$24)</f>
        <v>5.0932924118383526E-3</v>
      </c>
      <c r="Q171" s="21">
        <f t="shared" si="19"/>
        <v>148.21887190193198</v>
      </c>
      <c r="R171" s="21">
        <f t="shared" si="20"/>
        <v>150.43994022043702</v>
      </c>
      <c r="S171" s="22">
        <f>Q171/MAX(Q$6:Q171)-1</f>
        <v>-4.0348587832306215E-4</v>
      </c>
      <c r="T171" s="22">
        <f>R171/MAX(R$6:R171)-1</f>
        <v>0</v>
      </c>
    </row>
    <row r="172" spans="1:20" x14ac:dyDescent="0.2">
      <c r="A172" s="18">
        <v>43826</v>
      </c>
      <c r="B172" s="19">
        <v>393.6</v>
      </c>
      <c r="C172" s="19">
        <v>128.57</v>
      </c>
      <c r="D172" s="19">
        <v>55.35</v>
      </c>
      <c r="E172" s="19">
        <v>1.72</v>
      </c>
      <c r="F172" s="20">
        <v>3240.02</v>
      </c>
      <c r="H172" s="23">
        <f t="shared" si="14"/>
        <v>1.8449038735218748E-2</v>
      </c>
      <c r="I172" s="23">
        <f t="shared" si="15"/>
        <v>-2.9468786351298792E-3</v>
      </c>
      <c r="J172" s="23">
        <f t="shared" si="16"/>
        <v>6.9128615608513577E-3</v>
      </c>
      <c r="K172" s="23">
        <f>E171/100/Inputs!$B$17-'Valuation and Bond'!$B$44*(E172-E171)/100+0.5*'Valuation and Bond'!$B$45*((E172-E171)/100)^2</f>
        <v>7.7042209649771877E-4</v>
      </c>
      <c r="L172" s="23">
        <f t="shared" si="17"/>
        <v>5.836298048565558E-3</v>
      </c>
      <c r="M172" s="23">
        <f t="shared" si="18"/>
        <v>3.959202878910501E-3</v>
      </c>
      <c r="N172" s="23">
        <f>SUMPRODUCT(H172:K172,Portfolio!$B$23:$E$23)</f>
        <v>5.7963609393594864E-3</v>
      </c>
      <c r="O172" s="23">
        <f>SUMPRODUCT(H172:K172,Portfolio!$B$24:$E$24)</f>
        <v>4.6374694109379434E-3</v>
      </c>
      <c r="Q172" s="21">
        <f t="shared" si="19"/>
        <v>148.80570048627499</v>
      </c>
      <c r="R172" s="21">
        <f t="shared" si="20"/>
        <v>151.31795254997189</v>
      </c>
      <c r="S172" s="22">
        <f>Q172/MAX(Q$6:Q172)-1</f>
        <v>0</v>
      </c>
      <c r="T172" s="22">
        <f>R172/MAX(R$6:R172)-1</f>
        <v>0</v>
      </c>
    </row>
    <row r="173" spans="1:20" x14ac:dyDescent="0.2">
      <c r="A173" s="18">
        <v>43833</v>
      </c>
      <c r="B173" s="19">
        <v>413.74</v>
      </c>
      <c r="C173" s="19">
        <v>127.85</v>
      </c>
      <c r="D173" s="19">
        <v>54.69</v>
      </c>
      <c r="E173" s="19">
        <v>1.66</v>
      </c>
      <c r="F173" s="20">
        <v>3234.85</v>
      </c>
      <c r="H173" s="23">
        <f t="shared" si="14"/>
        <v>5.116869918699174E-2</v>
      </c>
      <c r="I173" s="23">
        <f t="shared" si="15"/>
        <v>-5.6000622229135377E-3</v>
      </c>
      <c r="J173" s="23">
        <f t="shared" si="16"/>
        <v>-1.1924119241192521E-2</v>
      </c>
      <c r="K173" s="23">
        <f>E172/100/Inputs!$B$17-'Valuation and Bond'!$B$44*(E173-E172)/100+0.5*'Valuation and Bond'!$B$45*((E173-E172)/100)^2</f>
        <v>2.9605398755411156E-3</v>
      </c>
      <c r="L173" s="23">
        <f t="shared" si="17"/>
        <v>-1.5956691625360619E-3</v>
      </c>
      <c r="M173" s="23">
        <f t="shared" si="18"/>
        <v>1.4995498399206853E-3</v>
      </c>
      <c r="N173" s="23">
        <f>SUMPRODUCT(H173:K173,Portfolio!$B$23:$E$23)</f>
        <v>9.1512643996066994E-3</v>
      </c>
      <c r="O173" s="23">
        <f>SUMPRODUCT(H173:K173,Portfolio!$B$24:$E$24)</f>
        <v>2.9997138501140219E-3</v>
      </c>
      <c r="Q173" s="21">
        <f t="shared" si="19"/>
        <v>149.02884205061847</v>
      </c>
      <c r="R173" s="21">
        <f t="shared" si="20"/>
        <v>151.07649915934979</v>
      </c>
      <c r="S173" s="22">
        <f>Q173/MAX(Q$6:Q173)-1</f>
        <v>0</v>
      </c>
      <c r="T173" s="22">
        <f>R173/MAX(R$6:R173)-1</f>
        <v>-1.595669162536173E-3</v>
      </c>
    </row>
    <row r="174" spans="1:20" x14ac:dyDescent="0.2">
      <c r="A174" s="18">
        <v>43840</v>
      </c>
      <c r="B174" s="19">
        <v>413.83</v>
      </c>
      <c r="C174" s="19">
        <v>130</v>
      </c>
      <c r="D174" s="19">
        <v>55.53</v>
      </c>
      <c r="E174" s="19">
        <v>1.64</v>
      </c>
      <c r="F174" s="20">
        <v>3265.35</v>
      </c>
      <c r="H174" s="23">
        <f t="shared" si="14"/>
        <v>2.175279160825383E-4</v>
      </c>
      <c r="I174" s="23">
        <f t="shared" si="15"/>
        <v>1.6816581931951458E-2</v>
      </c>
      <c r="J174" s="23">
        <f t="shared" si="16"/>
        <v>1.5359297860669363E-2</v>
      </c>
      <c r="K174" s="23">
        <f>E173/100/Inputs!$B$17-'Valuation and Bond'!$B$44*(E174-E173)/100+0.5*'Valuation and Bond'!$B$45*((E174-E173)/100)^2</f>
        <v>1.1949164743042197E-3</v>
      </c>
      <c r="L174" s="23">
        <f t="shared" si="17"/>
        <v>9.4285670123808174E-3</v>
      </c>
      <c r="M174" s="23">
        <f t="shared" si="18"/>
        <v>1.1001040809261673E-2</v>
      </c>
      <c r="N174" s="23">
        <f>SUMPRODUCT(H174:K174,Portfolio!$B$23:$E$23)</f>
        <v>8.3970810457518943E-3</v>
      </c>
      <c r="O174" s="23">
        <f>SUMPRODUCT(H174:K174,Portfolio!$B$24:$E$24)</f>
        <v>7.9347155713038135E-3</v>
      </c>
      <c r="Q174" s="21">
        <f t="shared" si="19"/>
        <v>150.66831442377432</v>
      </c>
      <c r="R174" s="21">
        <f t="shared" si="20"/>
        <v>152.50093405566963</v>
      </c>
      <c r="S174" s="22">
        <f>Q174/MAX(Q$6:Q174)-1</f>
        <v>0</v>
      </c>
      <c r="T174" s="22">
        <f>R174/MAX(R$6:R174)-1</f>
        <v>0</v>
      </c>
    </row>
    <row r="175" spans="1:20" x14ac:dyDescent="0.2">
      <c r="A175" s="18">
        <v>43847</v>
      </c>
      <c r="B175" s="19">
        <v>425.66</v>
      </c>
      <c r="C175" s="19">
        <v>131.69999999999999</v>
      </c>
      <c r="D175" s="19">
        <v>56.94</v>
      </c>
      <c r="E175" s="19">
        <v>1.63</v>
      </c>
      <c r="F175" s="20">
        <v>3329.62</v>
      </c>
      <c r="H175" s="23">
        <f t="shared" si="14"/>
        <v>2.8586617693255878E-2</v>
      </c>
      <c r="I175" s="23">
        <f t="shared" si="15"/>
        <v>1.3076923076922986E-2</v>
      </c>
      <c r="J175" s="23">
        <f t="shared" si="16"/>
        <v>2.5391680172879516E-2</v>
      </c>
      <c r="K175" s="23">
        <f>E174/100/Inputs!$B$17-'Valuation and Bond'!$B$44*(E175-E174)/100+0.5*'Valuation and Bond'!$B$45*((E175-E174)/100)^2</f>
        <v>7.5311440419002643E-4</v>
      </c>
      <c r="L175" s="23">
        <f t="shared" si="17"/>
        <v>1.9682423017440609E-2</v>
      </c>
      <c r="M175" s="23">
        <f t="shared" si="18"/>
        <v>1.6823426398925836E-2</v>
      </c>
      <c r="N175" s="23">
        <f>SUMPRODUCT(H175:K175,Portfolio!$B$23:$E$23)</f>
        <v>1.6952083836812102E-2</v>
      </c>
      <c r="O175" s="23">
        <f>SUMPRODUCT(H175:K175,Portfolio!$B$24:$E$24)</f>
        <v>1.4317607472275588E-2</v>
      </c>
      <c r="Q175" s="21">
        <f t="shared" si="19"/>
        <v>153.2030717221329</v>
      </c>
      <c r="R175" s="21">
        <f t="shared" si="20"/>
        <v>155.50252195030814</v>
      </c>
      <c r="S175" s="22">
        <f>Q175/MAX(Q$6:Q175)-1</f>
        <v>0</v>
      </c>
      <c r="T175" s="22">
        <f>R175/MAX(R$6:R175)-1</f>
        <v>0</v>
      </c>
    </row>
    <row r="176" spans="1:20" x14ac:dyDescent="0.2">
      <c r="A176" s="18">
        <v>43854</v>
      </c>
      <c r="B176" s="19">
        <v>432.5</v>
      </c>
      <c r="C176" s="19">
        <v>130.52000000000001</v>
      </c>
      <c r="D176" s="19">
        <v>57.68</v>
      </c>
      <c r="E176" s="19">
        <v>1.55</v>
      </c>
      <c r="F176" s="20">
        <v>3295.47</v>
      </c>
      <c r="H176" s="23">
        <f t="shared" si="14"/>
        <v>1.6069163181882118E-2</v>
      </c>
      <c r="I176" s="23">
        <f t="shared" si="15"/>
        <v>-8.9597570235381285E-3</v>
      </c>
      <c r="J176" s="23">
        <f t="shared" si="16"/>
        <v>1.299613628380758E-2</v>
      </c>
      <c r="K176" s="23">
        <f>E175/100/Inputs!$B$17-'Valuation and Bond'!$B$44*(E176-E175)/100+0.5*'Valuation and Bond'!$B$45*((E176-E175)/100)^2</f>
        <v>3.8216314178583983E-3</v>
      </c>
      <c r="L176" s="23">
        <f t="shared" si="17"/>
        <v>-1.0256425658183299E-2</v>
      </c>
      <c r="M176" s="23">
        <f t="shared" si="18"/>
        <v>4.3229665831885367E-3</v>
      </c>
      <c r="N176" s="23">
        <f>SUMPRODUCT(H176:K176,Portfolio!$B$23:$E$23)</f>
        <v>5.9817934650024922E-3</v>
      </c>
      <c r="O176" s="23">
        <f>SUMPRODUCT(H176:K176,Portfolio!$B$24:$E$24)</f>
        <v>6.815487230697144E-3</v>
      </c>
      <c r="Q176" s="21">
        <f t="shared" si="19"/>
        <v>153.86536348162952</v>
      </c>
      <c r="R176" s="21">
        <f t="shared" si="20"/>
        <v>153.90762189426479</v>
      </c>
      <c r="S176" s="22">
        <f>Q176/MAX(Q$6:Q176)-1</f>
        <v>0</v>
      </c>
      <c r="T176" s="22">
        <f>R176/MAX(R$6:R176)-1</f>
        <v>-1.0256425658183188E-2</v>
      </c>
    </row>
    <row r="177" spans="1:20" x14ac:dyDescent="0.2">
      <c r="A177" s="18">
        <v>43861</v>
      </c>
      <c r="B177" s="19">
        <v>428.12</v>
      </c>
      <c r="C177" s="19">
        <v>120.65</v>
      </c>
      <c r="D177" s="19">
        <v>58.4</v>
      </c>
      <c r="E177" s="19">
        <v>1.41</v>
      </c>
      <c r="F177" s="20">
        <v>3225.52</v>
      </c>
      <c r="H177" s="23">
        <f t="shared" si="14"/>
        <v>-1.0127167630057832E-2</v>
      </c>
      <c r="I177" s="23">
        <f t="shared" si="15"/>
        <v>-7.5620594544897335E-2</v>
      </c>
      <c r="J177" s="23">
        <f t="shared" si="16"/>
        <v>1.2482662968099856E-2</v>
      </c>
      <c r="K177" s="23">
        <f>E176/100/Inputs!$B$17-'Valuation and Bond'!$B$44*(E177-E176)/100+0.5*'Valuation and Bond'!$B$45*((E177-E176)/100)^2</f>
        <v>6.4468715654518146E-3</v>
      </c>
      <c r="L177" s="23">
        <f t="shared" si="17"/>
        <v>-2.1226107353427559E-2</v>
      </c>
      <c r="M177" s="23">
        <f t="shared" si="18"/>
        <v>-2.0794372845974723E-2</v>
      </c>
      <c r="N177" s="23">
        <f>SUMPRODUCT(H177:K177,Portfolio!$B$23:$E$23)</f>
        <v>-1.6704556910350873E-2</v>
      </c>
      <c r="O177" s="23">
        <f>SUMPRODUCT(H177:K177,Portfolio!$B$24:$E$24)</f>
        <v>-4.5109320517827131E-3</v>
      </c>
      <c r="Q177" s="21">
        <f t="shared" si="19"/>
        <v>150.66582974531107</v>
      </c>
      <c r="R177" s="21">
        <f t="shared" si="20"/>
        <v>150.6407621894264</v>
      </c>
      <c r="S177" s="22">
        <f>Q177/MAX(Q$6:Q177)-1</f>
        <v>-2.0794372845974851E-2</v>
      </c>
      <c r="T177" s="22">
        <f>R177/MAX(R$6:R177)-1</f>
        <v>-3.1264829019527762E-2</v>
      </c>
    </row>
    <row r="178" spans="1:20" x14ac:dyDescent="0.2">
      <c r="A178" s="18">
        <v>43868</v>
      </c>
      <c r="B178" s="19">
        <v>439.17</v>
      </c>
      <c r="C178" s="19">
        <v>128.69999999999999</v>
      </c>
      <c r="D178" s="19">
        <v>59.19</v>
      </c>
      <c r="E178" s="19">
        <v>1.42</v>
      </c>
      <c r="F178" s="20">
        <v>3327.71</v>
      </c>
      <c r="H178" s="23">
        <f t="shared" si="14"/>
        <v>2.5810520414836891E-2</v>
      </c>
      <c r="I178" s="23">
        <f t="shared" si="15"/>
        <v>6.6721922917529985E-2</v>
      </c>
      <c r="J178" s="23">
        <f t="shared" si="16"/>
        <v>1.3527397260273855E-2</v>
      </c>
      <c r="K178" s="23">
        <f>E177/100/Inputs!$B$17-'Valuation and Bond'!$B$44*(E178-E177)/100+0.5*'Valuation and Bond'!$B$45*((E178-E177)/100)^2</f>
        <v>-1.663498151889372E-4</v>
      </c>
      <c r="L178" s="23">
        <f t="shared" si="17"/>
        <v>3.1681713336144224E-2</v>
      </c>
      <c r="M178" s="23">
        <f t="shared" si="18"/>
        <v>2.9970355130055422E-2</v>
      </c>
      <c r="N178" s="23">
        <f>SUMPRODUCT(H178:K178,Portfolio!$B$23:$E$23)</f>
        <v>2.6473372694362948E-2</v>
      </c>
      <c r="O178" s="23">
        <f>SUMPRODUCT(H178:K178,Portfolio!$B$24:$E$24)</f>
        <v>1.6676148201732625E-2</v>
      </c>
      <c r="Q178" s="21">
        <f t="shared" si="19"/>
        <v>155.18133816874251</v>
      </c>
      <c r="R178" s="21">
        <f t="shared" si="20"/>
        <v>155.41331963385008</v>
      </c>
      <c r="S178" s="22">
        <f>Q178/MAX(Q$6:Q178)-1</f>
        <v>0</v>
      </c>
      <c r="T178" s="22">
        <f>R178/MAX(R$6:R178)-1</f>
        <v>-5.7363903388374382E-4</v>
      </c>
    </row>
    <row r="179" spans="1:20" x14ac:dyDescent="0.2">
      <c r="A179" s="18">
        <v>43875</v>
      </c>
      <c r="B179" s="19">
        <v>437.85</v>
      </c>
      <c r="C179" s="19">
        <v>132.21</v>
      </c>
      <c r="D179" s="19">
        <v>59.95</v>
      </c>
      <c r="E179" s="19">
        <v>1.42</v>
      </c>
      <c r="F179" s="20">
        <v>3380.16</v>
      </c>
      <c r="H179" s="23">
        <f t="shared" si="14"/>
        <v>-3.0056697861875481E-3</v>
      </c>
      <c r="I179" s="23">
        <f t="shared" si="15"/>
        <v>2.7272727272727337E-2</v>
      </c>
      <c r="J179" s="23">
        <f t="shared" si="16"/>
        <v>1.2840006757898426E-2</v>
      </c>
      <c r="K179" s="23">
        <f>E178/100/Inputs!$B$17-'Valuation and Bond'!$B$44*(E179-E178)/100+0.5*'Valuation and Bond'!$B$45*((E179-E178)/100)^2</f>
        <v>2.7307692307692308E-4</v>
      </c>
      <c r="L179" s="23">
        <f t="shared" si="17"/>
        <v>1.5761589801995823E-2</v>
      </c>
      <c r="M179" s="23">
        <f t="shared" si="18"/>
        <v>1.2989866418736276E-2</v>
      </c>
      <c r="N179" s="23">
        <f>SUMPRODUCT(H179:K179,Portfolio!$B$23:$E$23)</f>
        <v>9.3450352918787848E-3</v>
      </c>
      <c r="O179" s="23">
        <f>SUMPRODUCT(H179:K179,Portfolio!$B$24:$E$24)</f>
        <v>7.68161931360049E-3</v>
      </c>
      <c r="Q179" s="21">
        <f t="shared" si="19"/>
        <v>157.19712302223522</v>
      </c>
      <c r="R179" s="21">
        <f t="shared" si="20"/>
        <v>157.86288062768529</v>
      </c>
      <c r="S179" s="22">
        <f>Q179/MAX(Q$6:Q179)-1</f>
        <v>0</v>
      </c>
      <c r="T179" s="22">
        <f>R179/MAX(R$6:R179)-1</f>
        <v>0</v>
      </c>
    </row>
    <row r="180" spans="1:20" x14ac:dyDescent="0.2">
      <c r="A180" s="18">
        <v>43882</v>
      </c>
      <c r="B180" s="19">
        <v>427.8</v>
      </c>
      <c r="C180" s="19">
        <v>128.52000000000001</v>
      </c>
      <c r="D180" s="19">
        <v>60.13</v>
      </c>
      <c r="E180" s="19">
        <v>1.37</v>
      </c>
      <c r="F180" s="20">
        <v>3337.75</v>
      </c>
      <c r="H180" s="23">
        <f t="shared" si="14"/>
        <v>-2.295306611853376E-2</v>
      </c>
      <c r="I180" s="23">
        <f t="shared" si="15"/>
        <v>-2.791014295439076E-2</v>
      </c>
      <c r="J180" s="23">
        <f t="shared" si="16"/>
        <v>3.0025020850708017E-3</v>
      </c>
      <c r="K180" s="23">
        <f>E179/100/Inputs!$B$17-'Valuation and Bond'!$B$44*(E180-E179)/100+0.5*'Valuation and Bond'!$B$45*((E180-E179)/100)^2</f>
        <v>2.4639871417302481E-3</v>
      </c>
      <c r="L180" s="23">
        <f t="shared" si="17"/>
        <v>-1.2546743349427181E-2</v>
      </c>
      <c r="M180" s="23">
        <f t="shared" si="18"/>
        <v>-1.0745486553597231E-2</v>
      </c>
      <c r="N180" s="23">
        <f>SUMPRODUCT(H180:K180,Portfolio!$B$23:$E$23)</f>
        <v>-1.1349179961530868E-2</v>
      </c>
      <c r="O180" s="23">
        <f>SUMPRODUCT(H180:K180,Portfolio!$B$24:$E$24)</f>
        <v>-4.6514108369347567E-3</v>
      </c>
      <c r="Q180" s="21">
        <f t="shared" si="19"/>
        <v>155.50796345053561</v>
      </c>
      <c r="R180" s="21">
        <f t="shared" si="20"/>
        <v>155.88221558004847</v>
      </c>
      <c r="S180" s="22">
        <f>Q180/MAX(Q$6:Q180)-1</f>
        <v>-1.0745486553597305E-2</v>
      </c>
      <c r="T180" s="22">
        <f>R180/MAX(R$6:R180)-1</f>
        <v>-1.2546743349427181E-2</v>
      </c>
    </row>
    <row r="181" spans="1:20" x14ac:dyDescent="0.2">
      <c r="A181" s="18">
        <v>43889</v>
      </c>
      <c r="B181" s="19">
        <v>369.87</v>
      </c>
      <c r="C181" s="19">
        <v>114.14</v>
      </c>
      <c r="D181" s="19">
        <v>53.49</v>
      </c>
      <c r="E181" s="19">
        <v>1.1000000000000001</v>
      </c>
      <c r="F181" s="20">
        <v>2954.22</v>
      </c>
      <c r="H181" s="23">
        <f t="shared" si="14"/>
        <v>-0.13541374474053303</v>
      </c>
      <c r="I181" s="23">
        <f t="shared" si="15"/>
        <v>-0.11188920012449433</v>
      </c>
      <c r="J181" s="23">
        <f t="shared" si="16"/>
        <v>-0.11042740728421752</v>
      </c>
      <c r="K181" s="23">
        <f>E180/100/Inputs!$B$17-'Valuation and Bond'!$B$44*(E181-E180)/100+0.5*'Valuation and Bond'!$B$45*((E181-E180)/100)^2</f>
        <v>1.2161536575590007E-2</v>
      </c>
      <c r="L181" s="23">
        <f t="shared" si="17"/>
        <v>-0.11490674855816052</v>
      </c>
      <c r="M181" s="23">
        <f t="shared" si="18"/>
        <v>-8.9702699862509172E-2</v>
      </c>
      <c r="N181" s="23">
        <f>SUMPRODUCT(H181:K181,Portfolio!$B$23:$E$23)</f>
        <v>-8.6392203893413719E-2</v>
      </c>
      <c r="O181" s="23">
        <f>SUMPRODUCT(H181:K181,Portfolio!$B$24:$E$24)</f>
        <v>-6.4806110010466225E-2</v>
      </c>
      <c r="Q181" s="21">
        <f t="shared" si="19"/>
        <v>141.55847927890215</v>
      </c>
      <c r="R181" s="21">
        <f t="shared" si="20"/>
        <v>137.97029702970286</v>
      </c>
      <c r="S181" s="22">
        <f>Q181/MAX(Q$6:Q181)-1</f>
        <v>-9.9484287260912629E-2</v>
      </c>
      <c r="T181" s="22">
        <f>R181/MAX(R$6:R181)-1</f>
        <v>-0.12601178642431121</v>
      </c>
    </row>
    <row r="182" spans="1:20" x14ac:dyDescent="0.2">
      <c r="A182" s="18">
        <v>43896</v>
      </c>
      <c r="B182" s="19">
        <v>382.47</v>
      </c>
      <c r="C182" s="19">
        <v>113.16</v>
      </c>
      <c r="D182" s="19">
        <v>55.26</v>
      </c>
      <c r="E182" s="19">
        <v>0.73</v>
      </c>
      <c r="F182" s="20">
        <v>2972.37</v>
      </c>
      <c r="H182" s="23">
        <f t="shared" si="14"/>
        <v>3.4066023197339756E-2</v>
      </c>
      <c r="I182" s="23">
        <f t="shared" si="15"/>
        <v>-8.5859470825302431E-3</v>
      </c>
      <c r="J182" s="23">
        <f t="shared" si="16"/>
        <v>3.3090297251822776E-2</v>
      </c>
      <c r="K182" s="23">
        <f>E181/100/Inputs!$B$17-'Valuation and Bond'!$B$44*(E182-E181)/100+0.5*'Valuation and Bond'!$B$45*((E182-E181)/100)^2</f>
        <v>1.6558141537448813E-2</v>
      </c>
      <c r="L182" s="23">
        <f t="shared" si="17"/>
        <v>6.1437536811748128E-3</v>
      </c>
      <c r="M182" s="23">
        <f t="shared" si="18"/>
        <v>1.615998916639249E-2</v>
      </c>
      <c r="N182" s="23">
        <f>SUMPRODUCT(H182:K182,Portfolio!$B$23:$E$23)</f>
        <v>1.8782128726020274E-2</v>
      </c>
      <c r="O182" s="23">
        <f>SUMPRODUCT(H182:K182,Portfolio!$B$24:$E$24)</f>
        <v>2.1085271290581988E-2</v>
      </c>
      <c r="Q182" s="21">
        <f t="shared" si="19"/>
        <v>143.84606277046021</v>
      </c>
      <c r="R182" s="21">
        <f t="shared" si="20"/>
        <v>138.81795254997189</v>
      </c>
      <c r="S182" s="22">
        <f>Q182/MAX(Q$6:Q182)-1</f>
        <v>-8.4931963098882735E-2</v>
      </c>
      <c r="T182" s="22">
        <f>R182/MAX(R$6:R182)-1</f>
        <v>-0.12064221811985221</v>
      </c>
    </row>
    <row r="183" spans="1:20" x14ac:dyDescent="0.2">
      <c r="A183" s="18">
        <v>43903</v>
      </c>
      <c r="B183" s="19">
        <v>328.59</v>
      </c>
      <c r="C183" s="19">
        <v>106.04</v>
      </c>
      <c r="D183" s="19">
        <v>48.47</v>
      </c>
      <c r="E183" s="19">
        <v>0.62</v>
      </c>
      <c r="F183" s="20">
        <v>2711.02</v>
      </c>
      <c r="H183" s="23">
        <f t="shared" si="14"/>
        <v>-0.14087379402306077</v>
      </c>
      <c r="I183" s="23">
        <f t="shared" si="15"/>
        <v>-6.2919759632378836E-2</v>
      </c>
      <c r="J183" s="23">
        <f t="shared" si="16"/>
        <v>-0.12287368802026777</v>
      </c>
      <c r="K183" s="23">
        <f>E182/100/Inputs!$B$17-'Valuation and Bond'!$B$44*(E183-E182)/100+0.5*'Valuation and Bond'!$B$45*((E183-E182)/100)^2</f>
        <v>4.9678493026886648E-3</v>
      </c>
      <c r="L183" s="23">
        <f t="shared" si="17"/>
        <v>-8.7926469450303912E-2</v>
      </c>
      <c r="M183" s="23">
        <f t="shared" si="18"/>
        <v>-7.9905598233043204E-2</v>
      </c>
      <c r="N183" s="23">
        <f>SUMPRODUCT(H183:K183,Portfolio!$B$23:$E$23)</f>
        <v>-8.0424848093254675E-2</v>
      </c>
      <c r="O183" s="23">
        <f>SUMPRODUCT(H183:K183,Portfolio!$B$24:$E$24)</f>
        <v>-6.6119386636288718E-2</v>
      </c>
      <c r="Q183" s="21">
        <f t="shared" si="19"/>
        <v>132.35195707131871</v>
      </c>
      <c r="R183" s="21">
        <f t="shared" si="20"/>
        <v>126.61218008593305</v>
      </c>
      <c r="S183" s="22">
        <f>Q183/MAX(Q$6:Q183)-1</f>
        <v>-0.15805102201140286</v>
      </c>
      <c r="T183" s="22">
        <f>R183/MAX(R$6:R183)-1</f>
        <v>-0.19796104326422403</v>
      </c>
    </row>
    <row r="184" spans="1:20" x14ac:dyDescent="0.2">
      <c r="A184" s="18">
        <v>43910</v>
      </c>
      <c r="B184" s="19">
        <v>291.22000000000003</v>
      </c>
      <c r="C184" s="19">
        <v>97.6</v>
      </c>
      <c r="D184" s="19">
        <v>38.299999999999997</v>
      </c>
      <c r="E184" s="19">
        <v>0.62</v>
      </c>
      <c r="F184" s="20">
        <v>2304.92</v>
      </c>
      <c r="H184" s="23">
        <f t="shared" si="14"/>
        <v>-0.11372835448431162</v>
      </c>
      <c r="I184" s="23">
        <f t="shared" si="15"/>
        <v>-7.9592606563561041E-2</v>
      </c>
      <c r="J184" s="23">
        <f t="shared" si="16"/>
        <v>-0.20982050753043124</v>
      </c>
      <c r="K184" s="23">
        <f>E183/100/Inputs!$B$17-'Valuation and Bond'!$B$44*(E184-E183)/100+0.5*'Valuation and Bond'!$B$45*((E184-E183)/100)^2</f>
        <v>1.1923076923076923E-4</v>
      </c>
      <c r="L184" s="23">
        <f t="shared" si="17"/>
        <v>-0.14979601773502216</v>
      </c>
      <c r="M184" s="23">
        <f t="shared" si="18"/>
        <v>-0.11212514227282083</v>
      </c>
      <c r="N184" s="23">
        <f>SUMPRODUCT(H184:K184,Portfolio!$B$23:$E$23)</f>
        <v>-0.10075555945226829</v>
      </c>
      <c r="O184" s="23">
        <f>SUMPRODUCT(H184:K184,Portfolio!$B$24:$E$24)</f>
        <v>-9.6216159594908007E-2</v>
      </c>
      <c r="Q184" s="21">
        <f t="shared" si="19"/>
        <v>117.51197505461082</v>
      </c>
      <c r="R184" s="21">
        <f t="shared" si="20"/>
        <v>107.6461797123108</v>
      </c>
      <c r="S184" s="22">
        <f>Q184/MAX(Q$6:Q184)-1</f>
        <v>-0.25245467095483054</v>
      </c>
      <c r="T184" s="22">
        <f>R184/MAX(R$6:R184)-1</f>
        <v>-0.31810328505159502</v>
      </c>
    </row>
    <row r="185" spans="1:20" x14ac:dyDescent="0.2">
      <c r="A185" s="18">
        <v>43917</v>
      </c>
      <c r="B185" s="19">
        <v>348.38</v>
      </c>
      <c r="C185" s="19">
        <v>100.5</v>
      </c>
      <c r="D185" s="19">
        <v>42.81</v>
      </c>
      <c r="E185" s="19">
        <v>0.48</v>
      </c>
      <c r="F185" s="20">
        <v>2541.4699999999998</v>
      </c>
      <c r="H185" s="23">
        <f t="shared" si="14"/>
        <v>0.1962777281780097</v>
      </c>
      <c r="I185" s="23">
        <f t="shared" si="15"/>
        <v>2.9713114754098324E-2</v>
      </c>
      <c r="J185" s="23">
        <f t="shared" si="16"/>
        <v>0.11775456919060057</v>
      </c>
      <c r="K185" s="23">
        <f>E184/100/Inputs!$B$17-'Valuation and Bond'!$B$44*(E185-E184)/100+0.5*'Valuation and Bond'!$B$45*((E185-E184)/100)^2</f>
        <v>6.2680254116056549E-3</v>
      </c>
      <c r="L185" s="23">
        <f t="shared" si="17"/>
        <v>0.10262829078666491</v>
      </c>
      <c r="M185" s="23">
        <f t="shared" si="18"/>
        <v>7.6807899036587551E-2</v>
      </c>
      <c r="N185" s="23">
        <f>SUMPRODUCT(H185:K185,Portfolio!$B$23:$E$23)</f>
        <v>8.7503359383578561E-2</v>
      </c>
      <c r="O185" s="23">
        <f>SUMPRODUCT(H185:K185,Portfolio!$B$24:$E$24)</f>
        <v>7.162489830508674E-2</v>
      </c>
      <c r="Q185" s="21">
        <f t="shared" si="19"/>
        <v>126.53782297019535</v>
      </c>
      <c r="R185" s="21">
        <f t="shared" si="20"/>
        <v>118.69372314589941</v>
      </c>
      <c r="S185" s="22">
        <f>Q185/MAX(Q$6:Q185)-1</f>
        <v>-0.19503728479625659</v>
      </c>
      <c r="T185" s="22">
        <f>R185/MAX(R$6:R185)-1</f>
        <v>-0.24812139070339856</v>
      </c>
    </row>
    <row r="186" spans="1:20" x14ac:dyDescent="0.2">
      <c r="A186" s="18">
        <v>43924</v>
      </c>
      <c r="B186" s="19">
        <v>350.5</v>
      </c>
      <c r="C186" s="19">
        <v>99.98</v>
      </c>
      <c r="D186" s="19">
        <v>43.83</v>
      </c>
      <c r="E186" s="19">
        <v>0.38</v>
      </c>
      <c r="F186" s="20">
        <v>2488.65</v>
      </c>
      <c r="H186" s="23">
        <f t="shared" si="14"/>
        <v>6.0853091451862351E-3</v>
      </c>
      <c r="I186" s="23">
        <f t="shared" si="15"/>
        <v>-5.1741293532338029E-3</v>
      </c>
      <c r="J186" s="23">
        <f t="shared" si="16"/>
        <v>2.3826208829712536E-2</v>
      </c>
      <c r="K186" s="23">
        <f>E185/100/Inputs!$B$17-'Valuation and Bond'!$B$44*(E186-E185)/100+0.5*'Valuation and Bond'!$B$45*((E186-E185)/100)^2</f>
        <v>4.4797813161800521E-3</v>
      </c>
      <c r="L186" s="23">
        <f t="shared" si="17"/>
        <v>-2.0783247490625434E-2</v>
      </c>
      <c r="M186" s="23">
        <f t="shared" si="18"/>
        <v>8.0361425184340123E-3</v>
      </c>
      <c r="N186" s="23">
        <f>SUMPRODUCT(H186:K186,Portfolio!$B$23:$E$23)</f>
        <v>7.3042924844612554E-3</v>
      </c>
      <c r="O186" s="23">
        <f>SUMPRODUCT(H186:K186,Portfolio!$B$24:$E$24)</f>
        <v>9.9611910795420061E-3</v>
      </c>
      <c r="Q186" s="21">
        <f t="shared" si="19"/>
        <v>127.55469894955623</v>
      </c>
      <c r="R186" s="21">
        <f t="shared" si="20"/>
        <v>116.2268821221744</v>
      </c>
      <c r="S186" s="22">
        <f>Q186/MAX(Q$6:Q186)-1</f>
        <v>-0.18856848969485362</v>
      </c>
      <c r="T186" s="22">
        <f>R186/MAX(R$6:R186)-1</f>
        <v>-0.26374786992331711</v>
      </c>
    </row>
    <row r="187" spans="1:20" x14ac:dyDescent="0.2">
      <c r="A187" s="18">
        <v>43931</v>
      </c>
      <c r="B187" s="19">
        <v>371</v>
      </c>
      <c r="C187" s="19">
        <v>107.69</v>
      </c>
      <c r="D187" s="19">
        <v>49</v>
      </c>
      <c r="E187" s="19">
        <v>0.45</v>
      </c>
      <c r="F187" s="20">
        <v>2789.82</v>
      </c>
      <c r="H187" s="23">
        <f t="shared" si="14"/>
        <v>5.8487874465049883E-2</v>
      </c>
      <c r="I187" s="23">
        <f t="shared" si="15"/>
        <v>7.7115423084616941E-2</v>
      </c>
      <c r="J187" s="23">
        <f t="shared" si="16"/>
        <v>0.11795573807894133</v>
      </c>
      <c r="K187" s="23">
        <f>E186/100/Inputs!$B$17-'Valuation and Bond'!$B$44*(E187-E186)/100+0.5*'Valuation and Bond'!$B$45*((E187-E186)/100)^2</f>
        <v>-2.9847000296073733E-3</v>
      </c>
      <c r="L187" s="23">
        <f t="shared" si="17"/>
        <v>0.12101741908263519</v>
      </c>
      <c r="M187" s="23">
        <f t="shared" si="18"/>
        <v>7.2410854580263917E-2</v>
      </c>
      <c r="N187" s="23">
        <f>SUMPRODUCT(H187:K187,Portfolio!$B$23:$E$23)</f>
        <v>6.2643583899750194E-2</v>
      </c>
      <c r="O187" s="23">
        <f>SUMPRODUCT(H187:K187,Portfolio!$B$24:$E$24)</f>
        <v>5.6506897510442688E-2</v>
      </c>
      <c r="Q187" s="21">
        <f t="shared" si="19"/>
        <v>136.7910437062219</v>
      </c>
      <c r="R187" s="21">
        <f t="shared" si="20"/>
        <v>130.29235942462162</v>
      </c>
      <c r="S187" s="22">
        <f>Q187/MAX(Q$6:Q187)-1</f>
        <v>-0.1298120406003036</v>
      </c>
      <c r="T187" s="22">
        <f>R187/MAX(R$6:R187)-1</f>
        <v>-0.17464853734734442</v>
      </c>
    </row>
    <row r="188" spans="1:20" x14ac:dyDescent="0.2">
      <c r="A188" s="18">
        <v>43938</v>
      </c>
      <c r="B188" s="19">
        <v>401.51</v>
      </c>
      <c r="C188" s="19">
        <v>113.55</v>
      </c>
      <c r="D188" s="19">
        <v>48.06</v>
      </c>
      <c r="E188" s="19">
        <v>0.38</v>
      </c>
      <c r="F188" s="20">
        <v>2874.56</v>
      </c>
      <c r="H188" s="23">
        <f t="shared" si="14"/>
        <v>8.2237196765498677E-2</v>
      </c>
      <c r="I188" s="23">
        <f t="shared" si="15"/>
        <v>5.4415451759680655E-2</v>
      </c>
      <c r="J188" s="23">
        <f t="shared" si="16"/>
        <v>-1.9183673469387763E-2</v>
      </c>
      <c r="K188" s="23">
        <f>E187/100/Inputs!$B$17-'Valuation and Bond'!$B$44*(E188-E187)/100+0.5*'Valuation and Bond'!$B$45*((E188-E187)/100)^2</f>
        <v>3.1553956598915221E-3</v>
      </c>
      <c r="L188" s="23">
        <f t="shared" si="17"/>
        <v>3.0374719515954274E-2</v>
      </c>
      <c r="M188" s="23">
        <f t="shared" si="18"/>
        <v>2.3010116988183126E-2</v>
      </c>
      <c r="N188" s="23">
        <f>SUMPRODUCT(H188:K188,Portfolio!$B$23:$E$23)</f>
        <v>3.0156092678920773E-2</v>
      </c>
      <c r="O188" s="23">
        <f>SUMPRODUCT(H188:K188,Portfolio!$B$24:$E$24)</f>
        <v>1.256962853592947E-2</v>
      </c>
      <c r="Q188" s="21">
        <f t="shared" si="19"/>
        <v>139.93862162483774</v>
      </c>
      <c r="R188" s="21">
        <f t="shared" si="20"/>
        <v>134.24995329721639</v>
      </c>
      <c r="S188" s="22">
        <f>Q188/MAX(Q$6:Q188)-1</f>
        <v>-0.1097889138528082</v>
      </c>
      <c r="T188" s="22">
        <f>R188/MAX(R$6:R188)-1</f>
        <v>-0.14957871816718749</v>
      </c>
    </row>
    <row r="189" spans="1:20" x14ac:dyDescent="0.2">
      <c r="A189" s="18">
        <v>43945</v>
      </c>
      <c r="B189" s="19">
        <v>381.77</v>
      </c>
      <c r="C189" s="19">
        <v>113.93</v>
      </c>
      <c r="D189" s="19">
        <v>45.43</v>
      </c>
      <c r="E189" s="19">
        <v>0.36</v>
      </c>
      <c r="F189" s="20">
        <v>2836.74</v>
      </c>
      <c r="H189" s="23">
        <f t="shared" si="14"/>
        <v>-4.9164404373490123E-2</v>
      </c>
      <c r="I189" s="23">
        <f t="shared" si="15"/>
        <v>3.3465433729635841E-3</v>
      </c>
      <c r="J189" s="23">
        <f t="shared" si="16"/>
        <v>-5.4723262588431187E-2</v>
      </c>
      <c r="K189" s="23">
        <f>E188/100/Inputs!$B$17-'Valuation and Bond'!$B$44*(E189-E188)/100+0.5*'Valuation and Bond'!$B$45*((E189-E188)/100)^2</f>
        <v>9.4876262815037332E-4</v>
      </c>
      <c r="L189" s="23">
        <f t="shared" si="17"/>
        <v>-1.3156796170544438E-2</v>
      </c>
      <c r="M189" s="23">
        <f t="shared" si="18"/>
        <v>-2.3689272864374909E-2</v>
      </c>
      <c r="N189" s="23">
        <f>SUMPRODUCT(H189:K189,Portfolio!$B$23:$E$23)</f>
        <v>-2.4898090240201839E-2</v>
      </c>
      <c r="O189" s="23">
        <f>SUMPRODUCT(H189:K189,Portfolio!$B$24:$E$24)</f>
        <v>-2.4049473368603989E-2</v>
      </c>
      <c r="Q189" s="21">
        <f t="shared" si="19"/>
        <v>136.62357743290244</v>
      </c>
      <c r="R189" s="21">
        <f t="shared" si="20"/>
        <v>132.4836540257798</v>
      </c>
      <c r="S189" s="22">
        <f>Q189/MAX(Q$6:Q189)-1</f>
        <v>-0.13087736717944065</v>
      </c>
      <c r="T189" s="22">
        <f>R189/MAX(R$6:R189)-1</f>
        <v>-0.16076753763135498</v>
      </c>
    </row>
    <row r="190" spans="1:20" x14ac:dyDescent="0.2">
      <c r="A190" s="18">
        <v>43952</v>
      </c>
      <c r="B190" s="19">
        <v>383.47</v>
      </c>
      <c r="C190" s="19">
        <v>109.71</v>
      </c>
      <c r="D190" s="19">
        <v>45.6</v>
      </c>
      <c r="E190" s="19">
        <v>0.37</v>
      </c>
      <c r="F190" s="20">
        <v>2830.71</v>
      </c>
      <c r="H190" s="23">
        <f t="shared" si="14"/>
        <v>4.4529428713624419E-3</v>
      </c>
      <c r="I190" s="23">
        <f t="shared" si="15"/>
        <v>-3.7040287896076607E-2</v>
      </c>
      <c r="J190" s="23">
        <f t="shared" si="16"/>
        <v>3.7420206911733533E-3</v>
      </c>
      <c r="K190" s="23">
        <f>E189/100/Inputs!$B$17-'Valuation and Bond'!$B$44*(E190-E189)/100+0.5*'Valuation and Bond'!$B$45*((E190-E189)/100)^2</f>
        <v>-3.6827289211201409E-4</v>
      </c>
      <c r="L190" s="23">
        <f t="shared" si="17"/>
        <v>-2.1256794771462584E-3</v>
      </c>
      <c r="M190" s="23">
        <f t="shared" si="18"/>
        <v>-1.0444002670401154E-2</v>
      </c>
      <c r="N190" s="23">
        <f>SUMPRODUCT(H190:K190,Portfolio!$B$23:$E$23)</f>
        <v>-7.3033993064132068E-3</v>
      </c>
      <c r="O190" s="23">
        <f>SUMPRODUCT(H190:K190,Portfolio!$B$24:$E$24)</f>
        <v>-3.2100365300663149E-3</v>
      </c>
      <c r="Q190" s="21">
        <f t="shared" si="19"/>
        <v>135.19668042535343</v>
      </c>
      <c r="R190" s="21">
        <f t="shared" si="20"/>
        <v>132.20203624135985</v>
      </c>
      <c r="S190" s="22">
        <f>Q190/MAX(Q$6:Q190)-1</f>
        <v>-0.13995448627752471</v>
      </c>
      <c r="T190" s="22">
        <f>R190/MAX(R$6:R190)-1</f>
        <v>-0.16255147685316695</v>
      </c>
    </row>
    <row r="191" spans="1:20" x14ac:dyDescent="0.2">
      <c r="A191" s="18">
        <v>43959</v>
      </c>
      <c r="B191" s="19">
        <v>378.4</v>
      </c>
      <c r="C191" s="19">
        <v>115</v>
      </c>
      <c r="D191" s="19">
        <v>46.11</v>
      </c>
      <c r="E191" s="19">
        <v>0.34</v>
      </c>
      <c r="F191" s="20">
        <v>2929.8</v>
      </c>
      <c r="H191" s="23">
        <f t="shared" si="14"/>
        <v>-1.3221373249537205E-2</v>
      </c>
      <c r="I191" s="23">
        <f t="shared" si="15"/>
        <v>4.8218029350104885E-2</v>
      </c>
      <c r="J191" s="23">
        <f t="shared" si="16"/>
        <v>1.1184210526315796E-2</v>
      </c>
      <c r="K191" s="23">
        <f>E190/100/Inputs!$B$17-'Valuation and Bond'!$B$44*(E191-E190)/100+0.5*'Valuation and Bond'!$B$45*((E191-E190)/100)^2</f>
        <v>1.3850215949579609E-3</v>
      </c>
      <c r="L191" s="23">
        <f t="shared" si="17"/>
        <v>3.5005352014159108E-2</v>
      </c>
      <c r="M191" s="23">
        <f t="shared" si="18"/>
        <v>1.8211793101594109E-2</v>
      </c>
      <c r="N191" s="23">
        <f>SUMPRODUCT(H191:K191,Portfolio!$B$23:$E$23)</f>
        <v>1.1891472055460359E-2</v>
      </c>
      <c r="O191" s="23">
        <f>SUMPRODUCT(H191:K191,Portfolio!$B$24:$E$24)</f>
        <v>9.0219328173348854E-3</v>
      </c>
      <c r="Q191" s="21">
        <f t="shared" si="19"/>
        <v>137.65885439728231</v>
      </c>
      <c r="R191" s="21">
        <f t="shared" si="20"/>
        <v>136.82981505697728</v>
      </c>
      <c r="S191" s="22">
        <f>Q191/MAX(Q$6:Q191)-1</f>
        <v>-0.12429151532365679</v>
      </c>
      <c r="T191" s="22">
        <f>R191/MAX(R$6:R191)-1</f>
        <v>-0.13323629650667423</v>
      </c>
    </row>
    <row r="192" spans="1:20" x14ac:dyDescent="0.2">
      <c r="A192" s="18">
        <v>43966</v>
      </c>
      <c r="B192" s="19">
        <v>360.4</v>
      </c>
      <c r="C192" s="19">
        <v>108.24</v>
      </c>
      <c r="D192" s="19">
        <v>43.26</v>
      </c>
      <c r="E192" s="19">
        <v>0.33</v>
      </c>
      <c r="F192" s="20">
        <v>2863.7</v>
      </c>
      <c r="H192" s="23">
        <f t="shared" si="14"/>
        <v>-4.7568710359408017E-2</v>
      </c>
      <c r="I192" s="23">
        <f t="shared" si="15"/>
        <v>-5.8782608695652216E-2</v>
      </c>
      <c r="J192" s="23">
        <f t="shared" si="16"/>
        <v>-6.1808718282368336E-2</v>
      </c>
      <c r="K192" s="23">
        <f>E191/100/Inputs!$B$17-'Valuation and Bond'!$B$44*(E192-E191)/100+0.5*'Valuation and Bond'!$B$45*((E192-E191)/100)^2</f>
        <v>5.0311440419002654E-4</v>
      </c>
      <c r="L192" s="23">
        <f t="shared" si="17"/>
        <v>-2.2561266980681394E-2</v>
      </c>
      <c r="M192" s="23">
        <f t="shared" si="18"/>
        <v>-4.6460934531648103E-2</v>
      </c>
      <c r="N192" s="23">
        <f>SUMPRODUCT(H192:K192,Portfolio!$B$23:$E$23)</f>
        <v>-4.1914230733309639E-2</v>
      </c>
      <c r="O192" s="23">
        <f>SUMPRODUCT(H192:K192,Portfolio!$B$24:$E$24)</f>
        <v>-3.4647791277194188E-2</v>
      </c>
      <c r="Q192" s="21">
        <f t="shared" si="19"/>
        <v>131.26309537542849</v>
      </c>
      <c r="R192" s="21">
        <f t="shared" si="20"/>
        <v>133.74276106855956</v>
      </c>
      <c r="S192" s="22">
        <f>Q192/MAX(Q$6:Q192)-1</f>
        <v>-0.16497774989901315</v>
      </c>
      <c r="T192" s="22">
        <f>R192/MAX(R$6:R192)-1</f>
        <v>-0.15279158383035141</v>
      </c>
    </row>
    <row r="193" spans="1:20" x14ac:dyDescent="0.2">
      <c r="A193" s="18">
        <v>43973</v>
      </c>
      <c r="B193" s="19">
        <v>369</v>
      </c>
      <c r="C193" s="19">
        <v>113.43</v>
      </c>
      <c r="D193" s="19">
        <v>45.03</v>
      </c>
      <c r="E193" s="19">
        <v>0.35</v>
      </c>
      <c r="F193" s="20">
        <v>2955.45</v>
      </c>
      <c r="H193" s="23">
        <f t="shared" si="14"/>
        <v>2.3862375138734793E-2</v>
      </c>
      <c r="I193" s="23">
        <f t="shared" si="15"/>
        <v>4.7949002217295034E-2</v>
      </c>
      <c r="J193" s="23">
        <f t="shared" si="16"/>
        <v>4.0915395284327305E-2</v>
      </c>
      <c r="K193" s="23">
        <f>E192/100/Inputs!$B$17-'Valuation and Bond'!$B$44*(E193-E192)/100+0.5*'Valuation and Bond'!$B$45*((E193-E192)/100)^2</f>
        <v>-8.1131965676139799E-4</v>
      </c>
      <c r="L193" s="23">
        <f t="shared" si="17"/>
        <v>3.2038970562558999E-2</v>
      </c>
      <c r="M193" s="23">
        <f t="shared" si="18"/>
        <v>3.2631617414697903E-2</v>
      </c>
      <c r="N193" s="23">
        <f>SUMPRODUCT(H193:K193,Portfolio!$B$23:$E$23)</f>
        <v>2.7978863245898933E-2</v>
      </c>
      <c r="O193" s="23">
        <f>SUMPRODUCT(H193:K193,Portfolio!$B$24:$E$24)</f>
        <v>2.2957824569049878E-2</v>
      </c>
      <c r="Q193" s="21">
        <f t="shared" si="19"/>
        <v>135.54642248438847</v>
      </c>
      <c r="R193" s="21">
        <f t="shared" si="20"/>
        <v>138.02774145339049</v>
      </c>
      <c r="S193" s="22">
        <f>Q193/MAX(Q$6:Q193)-1</f>
        <v>-0.13772962330095762</v>
      </c>
      <c r="T193" s="22">
        <f>R193/MAX(R$6:R193)-1</f>
        <v>-0.12564789832433987</v>
      </c>
    </row>
    <row r="194" spans="1:20" x14ac:dyDescent="0.2">
      <c r="A194" s="18">
        <v>43980</v>
      </c>
      <c r="B194" s="19">
        <v>388.44</v>
      </c>
      <c r="C194" s="19">
        <v>118.74</v>
      </c>
      <c r="D194" s="19">
        <v>46.68</v>
      </c>
      <c r="E194" s="19">
        <v>0.33</v>
      </c>
      <c r="F194" s="20">
        <v>3044.31</v>
      </c>
      <c r="H194" s="23">
        <f t="shared" si="14"/>
        <v>5.2682926829268339E-2</v>
      </c>
      <c r="I194" s="23">
        <f t="shared" si="15"/>
        <v>4.6813012430573897E-2</v>
      </c>
      <c r="J194" s="23">
        <f t="shared" si="16"/>
        <v>3.6642238507661462E-2</v>
      </c>
      <c r="K194" s="23">
        <f>E193/100/Inputs!$B$17-'Valuation and Bond'!$B$44*(E194-E193)/100+0.5*'Valuation and Bond'!$B$45*((E194-E193)/100)^2</f>
        <v>9.4299339738114008E-4</v>
      </c>
      <c r="L194" s="23">
        <f t="shared" si="17"/>
        <v>3.0066487336953829E-2</v>
      </c>
      <c r="M194" s="23">
        <f t="shared" si="18"/>
        <v>3.4984136082779414E-2</v>
      </c>
      <c r="N194" s="23">
        <f>SUMPRODUCT(H194:K194,Portfolio!$B$23:$E$23)</f>
        <v>3.4270292791221207E-2</v>
      </c>
      <c r="O194" s="23">
        <f>SUMPRODUCT(H194:K194,Portfolio!$B$24:$E$24)</f>
        <v>2.5776795655598067E-2</v>
      </c>
      <c r="Q194" s="21">
        <f t="shared" si="19"/>
        <v>140.28839697411624</v>
      </c>
      <c r="R194" s="21">
        <f t="shared" si="20"/>
        <v>142.17775079394718</v>
      </c>
      <c r="S194" s="22">
        <f>Q194/MAX(Q$6:Q194)-1</f>
        <v>-0.10756383910236877</v>
      </c>
      <c r="T194" s="22">
        <f>R194/MAX(R$6:R194)-1</f>
        <v>-9.9359201931269681E-2</v>
      </c>
    </row>
    <row r="195" spans="1:20" x14ac:dyDescent="0.2">
      <c r="A195" s="18">
        <v>43987</v>
      </c>
      <c r="B195" s="19">
        <v>410.75</v>
      </c>
      <c r="C195" s="19">
        <v>131.44</v>
      </c>
      <c r="D195" s="19">
        <v>49.09</v>
      </c>
      <c r="E195" s="19">
        <v>0.38</v>
      </c>
      <c r="F195" s="20">
        <v>3193.93</v>
      </c>
      <c r="H195" s="23">
        <f t="shared" si="14"/>
        <v>5.7434867675831613E-2</v>
      </c>
      <c r="I195" s="23">
        <f t="shared" si="15"/>
        <v>0.10695637527370727</v>
      </c>
      <c r="J195" s="23">
        <f t="shared" si="16"/>
        <v>5.1628106255355632E-2</v>
      </c>
      <c r="K195" s="23">
        <f>E194/100/Inputs!$B$17-'Valuation and Bond'!$B$44*(E195-E194)/100+0.5*'Valuation and Bond'!$B$45*((E195-E194)/100)^2</f>
        <v>-2.1217954936260976E-3</v>
      </c>
      <c r="L195" s="23">
        <f t="shared" si="17"/>
        <v>4.9147425853477422E-2</v>
      </c>
      <c r="M195" s="23">
        <f t="shared" si="18"/>
        <v>5.9905850569828403E-2</v>
      </c>
      <c r="N195" s="23">
        <f>SUMPRODUCT(H195:K195,Portfolio!$B$23:$E$23)</f>
        <v>5.3474388427817106E-2</v>
      </c>
      <c r="O195" s="23">
        <f>SUMPRODUCT(H195:K195,Portfolio!$B$24:$E$24)</f>
        <v>3.8202099920892053E-2</v>
      </c>
      <c r="Q195" s="21">
        <f t="shared" si="19"/>
        <v>148.69249271992842</v>
      </c>
      <c r="R195" s="21">
        <f t="shared" si="20"/>
        <v>149.16542125910689</v>
      </c>
      <c r="S195" s="22">
        <f>Q195/MAX(Q$6:Q195)-1</f>
        <v>-5.4101691804523844E-2</v>
      </c>
      <c r="T195" s="22">
        <f>R195/MAX(R$6:R195)-1</f>
        <v>-5.5095025087570026E-2</v>
      </c>
    </row>
    <row r="196" spans="1:20" x14ac:dyDescent="0.2">
      <c r="A196" s="18">
        <v>43994</v>
      </c>
      <c r="B196" s="19">
        <v>381.87</v>
      </c>
      <c r="C196" s="19">
        <v>123.97</v>
      </c>
      <c r="D196" s="19">
        <v>45.6</v>
      </c>
      <c r="E196" s="19">
        <v>0.37</v>
      </c>
      <c r="F196" s="20">
        <v>3041.31</v>
      </c>
      <c r="H196" s="23">
        <f t="shared" si="14"/>
        <v>-7.0310407790626916E-2</v>
      </c>
      <c r="I196" s="23">
        <f t="shared" si="15"/>
        <v>-5.6832014607425485E-2</v>
      </c>
      <c r="J196" s="23">
        <f t="shared" si="16"/>
        <v>-7.1093909146465739E-2</v>
      </c>
      <c r="K196" s="23">
        <f>E195/100/Inputs!$B$17-'Valuation and Bond'!$B$44*(E196-E195)/100+0.5*'Valuation and Bond'!$B$45*((E196-E195)/100)^2</f>
        <v>5.1080671188233426E-4</v>
      </c>
      <c r="L196" s="23">
        <f t="shared" si="17"/>
        <v>-4.7784391016709837E-2</v>
      </c>
      <c r="M196" s="23">
        <f t="shared" si="18"/>
        <v>-5.1962726847264204E-2</v>
      </c>
      <c r="N196" s="23">
        <f>SUMPRODUCT(H196:K196,Portfolio!$B$23:$E$23)</f>
        <v>-4.9431381208158952E-2</v>
      </c>
      <c r="O196" s="23">
        <f>SUMPRODUCT(H196:K196,Portfolio!$B$24:$E$24)</f>
        <v>-4.0462754641389952E-2</v>
      </c>
      <c r="Q196" s="21">
        <f t="shared" si="19"/>
        <v>140.96602533648397</v>
      </c>
      <c r="R196" s="21">
        <f t="shared" si="20"/>
        <v>142.03764244348949</v>
      </c>
      <c r="S196" s="22">
        <f>Q196/MAX(Q$6:Q196)-1</f>
        <v>-0.1032531472185747</v>
      </c>
      <c r="T196" s="22">
        <f>R196/MAX(R$6:R196)-1</f>
        <v>-0.10024673388242</v>
      </c>
    </row>
    <row r="197" spans="1:20" x14ac:dyDescent="0.2">
      <c r="A197" s="18">
        <v>44001</v>
      </c>
      <c r="B197" s="19">
        <v>372.2</v>
      </c>
      <c r="C197" s="19">
        <v>124.89</v>
      </c>
      <c r="D197" s="19">
        <v>46.02</v>
      </c>
      <c r="E197" s="19">
        <v>0.34</v>
      </c>
      <c r="F197" s="20">
        <v>3097.74</v>
      </c>
      <c r="H197" s="23">
        <f t="shared" si="14"/>
        <v>-2.5322753816743981E-2</v>
      </c>
      <c r="I197" s="23">
        <f t="shared" si="15"/>
        <v>7.4211502782930427E-3</v>
      </c>
      <c r="J197" s="23">
        <f t="shared" si="16"/>
        <v>9.2105263157895578E-3</v>
      </c>
      <c r="K197" s="23">
        <f>E196/100/Inputs!$B$17-'Valuation and Bond'!$B$44*(E197-E196)/100+0.5*'Valuation and Bond'!$B$45*((E197-E196)/100)^2</f>
        <v>1.3850215949579609E-3</v>
      </c>
      <c r="L197" s="23">
        <f t="shared" si="17"/>
        <v>1.8554504473401234E-2</v>
      </c>
      <c r="M197" s="23">
        <f t="shared" si="18"/>
        <v>2.4792716616886946E-3</v>
      </c>
      <c r="N197" s="23">
        <f>SUMPRODUCT(H197:K197,Portfolio!$B$23:$E$23)</f>
        <v>-1.826513906925855E-3</v>
      </c>
      <c r="O197" s="23">
        <f>SUMPRODUCT(H197:K197,Portfolio!$B$24:$E$24)</f>
        <v>1.3920712310088075E-3</v>
      </c>
      <c r="Q197" s="21">
        <f t="shared" si="19"/>
        <v>141.31551840836158</v>
      </c>
      <c r="R197" s="21">
        <f t="shared" si="20"/>
        <v>144.67308051559857</v>
      </c>
      <c r="S197" s="22">
        <f>Q197/MAX(Q$6:Q197)-1</f>
        <v>-0.10102986815876536</v>
      </c>
      <c r="T197" s="22">
        <f>R197/MAX(R$6:R197)-1</f>
        <v>-8.3552257881284064E-2</v>
      </c>
    </row>
    <row r="198" spans="1:20" x14ac:dyDescent="0.2">
      <c r="A198" s="18">
        <v>44008</v>
      </c>
      <c r="B198" s="19">
        <v>356.76</v>
      </c>
      <c r="C198" s="19">
        <v>123.37</v>
      </c>
      <c r="D198" s="19">
        <v>43.57</v>
      </c>
      <c r="E198" s="19">
        <v>0.32</v>
      </c>
      <c r="F198" s="20">
        <v>3009.05</v>
      </c>
      <c r="H198" s="23">
        <f t="shared" si="14"/>
        <v>-4.1483073616335298E-2</v>
      </c>
      <c r="I198" s="23">
        <f t="shared" si="15"/>
        <v>-1.2170710224997938E-2</v>
      </c>
      <c r="J198" s="23">
        <f t="shared" si="16"/>
        <v>-5.3237722729248205E-2</v>
      </c>
      <c r="K198" s="23">
        <f>E197/100/Inputs!$B$17-'Valuation and Bond'!$B$44*(E198-E197)/100+0.5*'Valuation and Bond'!$B$45*((E198-E197)/100)^2</f>
        <v>9.4107032045806559E-4</v>
      </c>
      <c r="L198" s="23">
        <f t="shared" si="17"/>
        <v>-2.8630550013880929E-2</v>
      </c>
      <c r="M198" s="23">
        <f t="shared" si="18"/>
        <v>-2.7292358985443403E-2</v>
      </c>
      <c r="N198" s="23">
        <f>SUMPRODUCT(H198:K198,Portfolio!$B$23:$E$23)</f>
        <v>-2.6487609062530844E-2</v>
      </c>
      <c r="O198" s="23">
        <f>SUMPRODUCT(H198:K198,Portfolio!$B$24:$E$24)</f>
        <v>-2.461375878314849E-2</v>
      </c>
      <c r="Q198" s="21">
        <f t="shared" si="19"/>
        <v>137.45868454974655</v>
      </c>
      <c r="R198" s="21">
        <f t="shared" si="20"/>
        <v>140.53101064823451</v>
      </c>
      <c r="S198" s="22">
        <f>Q198/MAX(Q$6:Q198)-1</f>
        <v>-0.12556488371416763</v>
      </c>
      <c r="T198" s="22">
        <f>R198/MAX(R$6:R198)-1</f>
        <v>-0.10979066079712207</v>
      </c>
    </row>
    <row r="199" spans="1:20" x14ac:dyDescent="0.2">
      <c r="A199" s="18">
        <v>44015</v>
      </c>
      <c r="B199" s="19">
        <v>362</v>
      </c>
      <c r="C199" s="19">
        <v>125.81</v>
      </c>
      <c r="D199" s="19">
        <v>44.88</v>
      </c>
      <c r="E199" s="19">
        <v>0.28999999999999998</v>
      </c>
      <c r="F199" s="20">
        <v>3130.01</v>
      </c>
      <c r="H199" s="23">
        <f t="shared" ref="H199:H262" si="21">B199/B198-1</f>
        <v>1.4687745262921936E-2</v>
      </c>
      <c r="I199" s="23">
        <f t="shared" ref="I199:I262" si="22">C199/C198-1</f>
        <v>1.977790386641809E-2</v>
      </c>
      <c r="J199" s="23">
        <f t="shared" ref="J199:J262" si="23">D199/D198-1</f>
        <v>3.0066559559329908E-2</v>
      </c>
      <c r="K199" s="23">
        <f>E198/100/Inputs!$B$17-'Valuation and Bond'!$B$44*(E199-E198)/100+0.5*'Valuation and Bond'!$B$45*((E199-E198)/100)^2</f>
        <v>1.3754062103425787E-3</v>
      </c>
      <c r="L199" s="23">
        <f t="shared" ref="L199:L262" si="24">F199/F198-1</f>
        <v>4.0198733819644117E-2</v>
      </c>
      <c r="M199" s="23">
        <f t="shared" ref="M199:M262" si="25">SUMPRODUCT(H199:K199,$H$4:$K$4)</f>
        <v>1.8895379616597485E-2</v>
      </c>
      <c r="N199" s="23">
        <f>SUMPRODUCT(H199:K199,Portfolio!$B$23:$E$23)</f>
        <v>1.6476903724753127E-2</v>
      </c>
      <c r="O199" s="23">
        <f>SUMPRODUCT(H199:K199,Portfolio!$B$24:$E$24)</f>
        <v>1.5245551043186463E-2</v>
      </c>
      <c r="Q199" s="21">
        <f t="shared" ref="Q199:Q262" si="26">Q198*(1+M199)</f>
        <v>140.05601857591213</v>
      </c>
      <c r="R199" s="21">
        <f t="shared" ref="R199:R262" si="27">R198*(1+L199)</f>
        <v>146.18017933868848</v>
      </c>
      <c r="S199" s="22">
        <f>Q199/MAX(Q$6:Q199)-1</f>
        <v>-0.10904210024186323</v>
      </c>
      <c r="T199" s="22">
        <f>R199/MAX(R$6:R199)-1</f>
        <v>-7.4005372526744218E-2</v>
      </c>
    </row>
    <row r="200" spans="1:20" x14ac:dyDescent="0.2">
      <c r="A200" s="18">
        <v>44022</v>
      </c>
      <c r="B200" s="19">
        <v>349.25</v>
      </c>
      <c r="C200" s="19">
        <v>130.53</v>
      </c>
      <c r="D200" s="19">
        <v>45.15</v>
      </c>
      <c r="E200" s="19">
        <v>0.3</v>
      </c>
      <c r="F200" s="20">
        <v>3185.04</v>
      </c>
      <c r="H200" s="23">
        <f t="shared" si="21"/>
        <v>-3.5220994475138157E-2</v>
      </c>
      <c r="I200" s="23">
        <f t="shared" si="22"/>
        <v>3.75168905492409E-2</v>
      </c>
      <c r="J200" s="23">
        <f t="shared" si="23"/>
        <v>6.0160427807485206E-3</v>
      </c>
      <c r="K200" s="23">
        <f>E199/100/Inputs!$B$17-'Valuation and Bond'!$B$44*(E200-E199)/100+0.5*'Valuation and Bond'!$B$45*((E200-E199)/100)^2</f>
        <v>-3.8173443057355256E-4</v>
      </c>
      <c r="L200" s="23">
        <f t="shared" si="24"/>
        <v>1.75814134779122E-2</v>
      </c>
      <c r="M200" s="23">
        <f t="shared" si="25"/>
        <v>9.6678596656816079E-3</v>
      </c>
      <c r="N200" s="23">
        <f>SUMPRODUCT(H200:K200,Portfolio!$B$23:$E$23)</f>
        <v>1.9825511060694279E-3</v>
      </c>
      <c r="O200" s="23">
        <f>SUMPRODUCT(H200:K200,Portfolio!$B$24:$E$24)</f>
        <v>2.31219003848429E-3</v>
      </c>
      <c r="Q200" s="21">
        <f t="shared" si="26"/>
        <v>141.41006050883814</v>
      </c>
      <c r="R200" s="21">
        <f t="shared" si="27"/>
        <v>148.75023351391732</v>
      </c>
      <c r="S200" s="22">
        <f>Q200/MAX(Q$6:Q200)-1</f>
        <v>-0.10042844429897124</v>
      </c>
      <c r="T200" s="22">
        <f>R200/MAX(R$6:R200)-1</f>
        <v>-5.7725078102811689E-2</v>
      </c>
    </row>
    <row r="201" spans="1:20" x14ac:dyDescent="0.2">
      <c r="A201" s="18">
        <v>44029</v>
      </c>
      <c r="B201" s="19">
        <v>368.5</v>
      </c>
      <c r="C201" s="19">
        <v>133.88999999999999</v>
      </c>
      <c r="D201" s="19">
        <v>46.82</v>
      </c>
      <c r="E201" s="19">
        <v>0.28999999999999998</v>
      </c>
      <c r="F201" s="20">
        <v>3224.73</v>
      </c>
      <c r="H201" s="23">
        <f t="shared" si="21"/>
        <v>5.5118110236220375E-2</v>
      </c>
      <c r="I201" s="23">
        <f t="shared" si="22"/>
        <v>2.574120891749021E-2</v>
      </c>
      <c r="J201" s="23">
        <f t="shared" si="23"/>
        <v>3.6987818383167337E-2</v>
      </c>
      <c r="K201" s="23">
        <f>E200/100/Inputs!$B$17-'Valuation and Bond'!$B$44*(E201-E200)/100+0.5*'Valuation and Bond'!$B$45*((E201-E200)/100)^2</f>
        <v>4.9542209649771881E-4</v>
      </c>
      <c r="L201" s="23">
        <f t="shared" si="24"/>
        <v>1.246138196066604E-2</v>
      </c>
      <c r="M201" s="23">
        <f t="shared" si="25"/>
        <v>2.8380221672689488E-2</v>
      </c>
      <c r="N201" s="23">
        <f>SUMPRODUCT(H201:K201,Portfolio!$B$23:$E$23)</f>
        <v>2.9585639908343911E-2</v>
      </c>
      <c r="O201" s="23">
        <f>SUMPRODUCT(H201:K201,Portfolio!$B$24:$E$24)</f>
        <v>2.3238803395102373E-2</v>
      </c>
      <c r="Q201" s="21">
        <f t="shared" si="26"/>
        <v>145.42330937282739</v>
      </c>
      <c r="R201" s="21">
        <f t="shared" si="27"/>
        <v>150.60386699047251</v>
      </c>
      <c r="S201" s="22">
        <f>Q201/MAX(Q$6:Q201)-1</f>
        <v>-7.4898404137729968E-2</v>
      </c>
      <c r="T201" s="22">
        <f>R201/MAX(R$6:R201)-1</f>
        <v>-4.5983030389094015E-2</v>
      </c>
    </row>
    <row r="202" spans="1:20" x14ac:dyDescent="0.2">
      <c r="A202" s="18">
        <v>44036</v>
      </c>
      <c r="B202" s="19">
        <v>386.21</v>
      </c>
      <c r="C202" s="19">
        <v>129.63</v>
      </c>
      <c r="D202" s="19">
        <v>48.49</v>
      </c>
      <c r="E202" s="19">
        <v>0.27</v>
      </c>
      <c r="F202" s="20">
        <v>3215.63</v>
      </c>
      <c r="H202" s="23">
        <f t="shared" si="21"/>
        <v>4.8059701492537243E-2</v>
      </c>
      <c r="I202" s="23">
        <f t="shared" si="22"/>
        <v>-3.1817163343042743E-2</v>
      </c>
      <c r="J202" s="23">
        <f t="shared" si="23"/>
        <v>3.5668517727466931E-2</v>
      </c>
      <c r="K202" s="23">
        <f>E201/100/Inputs!$B$17-'Valuation and Bond'!$B$44*(E202-E201)/100+0.5*'Valuation and Bond'!$B$45*((E202-E201)/100)^2</f>
        <v>9.314549358426786E-4</v>
      </c>
      <c r="L202" s="23">
        <f t="shared" si="24"/>
        <v>-2.8219416819392773E-3</v>
      </c>
      <c r="M202" s="23">
        <f t="shared" si="25"/>
        <v>8.092662264745705E-3</v>
      </c>
      <c r="N202" s="23">
        <f>SUMPRODUCT(H202:K202,Portfolio!$B$23:$E$23)</f>
        <v>1.3210627703201028E-2</v>
      </c>
      <c r="O202" s="23">
        <f>SUMPRODUCT(H202:K202,Portfolio!$B$24:$E$24)</f>
        <v>1.4435812024399313E-2</v>
      </c>
      <c r="Q202" s="21">
        <f t="shared" si="26"/>
        <v>146.6001711010033</v>
      </c>
      <c r="R202" s="21">
        <f t="shared" si="27"/>
        <v>150.17887166075087</v>
      </c>
      <c r="S202" s="22">
        <f>Q202/MAX(Q$6:Q202)-1</f>
        <v>-6.7411869361839405E-2</v>
      </c>
      <c r="T202" s="22">
        <f>R202/MAX(R$6:R202)-1</f>
        <v>-4.86752106409164E-2</v>
      </c>
    </row>
    <row r="203" spans="1:20" x14ac:dyDescent="0.2">
      <c r="A203" s="18">
        <v>44043</v>
      </c>
      <c r="B203" s="19">
        <v>378.97</v>
      </c>
      <c r="C203" s="19">
        <v>127.55</v>
      </c>
      <c r="D203" s="19">
        <v>47.24</v>
      </c>
      <c r="E203" s="19">
        <v>0.25</v>
      </c>
      <c r="F203" s="20">
        <v>3271.12</v>
      </c>
      <c r="H203" s="23">
        <f t="shared" si="21"/>
        <v>-1.8746277931695032E-2</v>
      </c>
      <c r="I203" s="23">
        <f t="shared" si="22"/>
        <v>-1.6045668440947347E-2</v>
      </c>
      <c r="J203" s="23">
        <f t="shared" si="23"/>
        <v>-2.5778511033202722E-2</v>
      </c>
      <c r="K203" s="23">
        <f>E202/100/Inputs!$B$17-'Valuation and Bond'!$B$44*(E203-E202)/100+0.5*'Valuation and Bond'!$B$45*((E203-E202)/100)^2</f>
        <v>9.2760878199652712E-4</v>
      </c>
      <c r="L203" s="23">
        <f t="shared" si="24"/>
        <v>1.7256338571290719E-2</v>
      </c>
      <c r="M203" s="23">
        <f t="shared" si="25"/>
        <v>-1.6293678128768831E-2</v>
      </c>
      <c r="N203" s="23">
        <f>SUMPRODUCT(H203:K203,Portfolio!$B$23:$E$23)</f>
        <v>-1.4910712155962144E-2</v>
      </c>
      <c r="O203" s="23">
        <f>SUMPRODUCT(H203:K203,Portfolio!$B$24:$E$24)</f>
        <v>-1.2900979901124069E-2</v>
      </c>
      <c r="Q203" s="21">
        <f t="shared" si="26"/>
        <v>144.21151509946111</v>
      </c>
      <c r="R203" s="21">
        <f t="shared" si="27"/>
        <v>152.77040911638321</v>
      </c>
      <c r="S203" s="22">
        <f>Q203/MAX(Q$6:Q203)-1</f>
        <v>-8.2607160189167805E-2</v>
      </c>
      <c r="T203" s="22">
        <f>R203/MAX(R$6:R203)-1</f>
        <v>-3.2258827984474214E-2</v>
      </c>
    </row>
    <row r="204" spans="1:20" x14ac:dyDescent="0.2">
      <c r="A204" s="18">
        <v>44050</v>
      </c>
      <c r="B204" s="19">
        <v>385.62</v>
      </c>
      <c r="C204" s="19">
        <v>133.56</v>
      </c>
      <c r="D204" s="19">
        <v>47.8</v>
      </c>
      <c r="E204" s="19">
        <v>0.21</v>
      </c>
      <c r="F204" s="20">
        <v>3351.28</v>
      </c>
      <c r="H204" s="23">
        <f t="shared" si="21"/>
        <v>1.7547563131646182E-2</v>
      </c>
      <c r="I204" s="23">
        <f t="shared" si="22"/>
        <v>4.7118776950215713E-2</v>
      </c>
      <c r="J204" s="23">
        <f t="shared" si="23"/>
        <v>1.1854360711261558E-2</v>
      </c>
      <c r="K204" s="23">
        <f>E203/100/Inputs!$B$17-'Valuation and Bond'!$B$44*(E204-E203)/100+0.5*'Valuation and Bond'!$B$45*((E204-E203)/100)^2</f>
        <v>1.8003528430743337E-3</v>
      </c>
      <c r="L204" s="23">
        <f t="shared" si="24"/>
        <v>2.4505368191934274E-2</v>
      </c>
      <c r="M204" s="23">
        <f t="shared" si="25"/>
        <v>2.223516581717995E-2</v>
      </c>
      <c r="N204" s="23">
        <f>SUMPRODUCT(H204:K204,Portfolio!$B$23:$E$23)</f>
        <v>1.9580263409049448E-2</v>
      </c>
      <c r="O204" s="23">
        <f>SUMPRODUCT(H204:K204,Portfolio!$B$24:$E$24)</f>
        <v>1.3235620066011774E-2</v>
      </c>
      <c r="Q204" s="21">
        <f t="shared" si="26"/>
        <v>147.41808205044438</v>
      </c>
      <c r="R204" s="21">
        <f t="shared" si="27"/>
        <v>156.5141042406126</v>
      </c>
      <c r="S204" s="22">
        <f>Q204/MAX(Q$6:Q204)-1</f>
        <v>-6.2208778276480303E-2</v>
      </c>
      <c r="T204" s="22">
        <f>R204/MAX(R$6:R204)-1</f>
        <v>-8.5439742497397386E-3</v>
      </c>
    </row>
    <row r="205" spans="1:20" x14ac:dyDescent="0.2">
      <c r="A205" s="18">
        <v>44057</v>
      </c>
      <c r="B205" s="19">
        <v>391.42</v>
      </c>
      <c r="C205" s="19">
        <v>137.35</v>
      </c>
      <c r="D205" s="19">
        <v>48.45</v>
      </c>
      <c r="E205" s="19">
        <v>0.28000000000000003</v>
      </c>
      <c r="F205" s="20">
        <v>3372.85</v>
      </c>
      <c r="H205" s="23">
        <f t="shared" si="21"/>
        <v>1.5040713655930738E-2</v>
      </c>
      <c r="I205" s="23">
        <f t="shared" si="22"/>
        <v>2.8376759508834892E-2</v>
      </c>
      <c r="J205" s="23">
        <f t="shared" si="23"/>
        <v>1.3598326359832713E-2</v>
      </c>
      <c r="K205" s="23">
        <f>E204/100/Inputs!$B$17-'Valuation and Bond'!$B$44*(E205-E204)/100+0.5*'Valuation and Bond'!$B$45*((E205-E204)/100)^2</f>
        <v>-3.0173923372996828E-3</v>
      </c>
      <c r="L205" s="23">
        <f t="shared" si="24"/>
        <v>6.4363467093169202E-3</v>
      </c>
      <c r="M205" s="23">
        <f t="shared" si="25"/>
        <v>1.5343181876309942E-2</v>
      </c>
      <c r="N205" s="23">
        <f>SUMPRODUCT(H205:K205,Portfolio!$B$23:$E$23)</f>
        <v>1.3499601796824665E-2</v>
      </c>
      <c r="O205" s="23">
        <f>SUMPRODUCT(H205:K205,Portfolio!$B$24:$E$24)</f>
        <v>9.0946271523746781E-3</v>
      </c>
      <c r="Q205" s="21">
        <f t="shared" si="26"/>
        <v>149.67994449520111</v>
      </c>
      <c r="R205" s="21">
        <f t="shared" si="27"/>
        <v>157.52148328040334</v>
      </c>
      <c r="S205" s="22">
        <f>Q205/MAX(Q$6:Q205)-1</f>
        <v>-4.7820076999569583E-2</v>
      </c>
      <c r="T205" s="22">
        <f>R205/MAX(R$6:R205)-1</f>
        <v>-2.1626195209697441E-3</v>
      </c>
    </row>
    <row r="206" spans="1:20" x14ac:dyDescent="0.2">
      <c r="A206" s="18">
        <v>44064</v>
      </c>
      <c r="B206" s="19">
        <v>389.57</v>
      </c>
      <c r="C206" s="19">
        <v>140.33000000000001</v>
      </c>
      <c r="D206" s="19">
        <v>47.28</v>
      </c>
      <c r="E206" s="19">
        <v>0.28000000000000003</v>
      </c>
      <c r="F206" s="20">
        <v>3397.16</v>
      </c>
      <c r="H206" s="23">
        <f t="shared" si="21"/>
        <v>-4.7263808696541565E-3</v>
      </c>
      <c r="I206" s="23">
        <f t="shared" si="22"/>
        <v>2.1696396068438428E-2</v>
      </c>
      <c r="J206" s="23">
        <f t="shared" si="23"/>
        <v>-2.4148606811145501E-2</v>
      </c>
      <c r="K206" s="23">
        <f>E205/100/Inputs!$B$17-'Valuation and Bond'!$B$44*(E206-E205)/100+0.5*'Valuation and Bond'!$B$45*((E206-E205)/100)^2</f>
        <v>5.3846153846153853E-5</v>
      </c>
      <c r="L206" s="23">
        <f t="shared" si="24"/>
        <v>7.2075544420890925E-3</v>
      </c>
      <c r="M206" s="23">
        <f t="shared" si="25"/>
        <v>-1.6058203306368703E-3</v>
      </c>
      <c r="N206" s="23">
        <f>SUMPRODUCT(H206:K206,Portfolio!$B$23:$E$23)</f>
        <v>-1.7811863646287689E-3</v>
      </c>
      <c r="O206" s="23">
        <f>SUMPRODUCT(H206:K206,Portfolio!$B$24:$E$24)</f>
        <v>-5.8942223200336933E-3</v>
      </c>
      <c r="Q206" s="21">
        <f t="shared" si="26"/>
        <v>149.43958539724213</v>
      </c>
      <c r="R206" s="21">
        <f t="shared" si="27"/>
        <v>158.65682794694547</v>
      </c>
      <c r="S206" s="22">
        <f>Q206/MAX(Q$6:Q206)-1</f>
        <v>-4.9349106878347926E-2</v>
      </c>
      <c r="T206" s="22">
        <f>R206/MAX(R$6:R206)-1</f>
        <v>0</v>
      </c>
    </row>
    <row r="207" spans="1:20" x14ac:dyDescent="0.2">
      <c r="A207" s="18">
        <v>44071</v>
      </c>
      <c r="B207" s="19">
        <v>395.59</v>
      </c>
      <c r="C207" s="19">
        <v>143.49</v>
      </c>
      <c r="D207" s="19">
        <v>49.83</v>
      </c>
      <c r="E207" s="19">
        <v>0.28999999999999998</v>
      </c>
      <c r="F207" s="20">
        <v>3508.01</v>
      </c>
      <c r="H207" s="23">
        <f t="shared" si="21"/>
        <v>1.5452935287624703E-2</v>
      </c>
      <c r="I207" s="23">
        <f t="shared" si="22"/>
        <v>2.2518349604503607E-2</v>
      </c>
      <c r="J207" s="23">
        <f t="shared" si="23"/>
        <v>5.3934010152284273E-2</v>
      </c>
      <c r="K207" s="23">
        <f>E206/100/Inputs!$B$17-'Valuation and Bond'!$B$44*(E207-E206)/100+0.5*'Valuation and Bond'!$B$45*((E207-E206)/100)^2</f>
        <v>-3.8365750749662706E-4</v>
      </c>
      <c r="L207" s="23">
        <f t="shared" si="24"/>
        <v>3.2630196988072457E-2</v>
      </c>
      <c r="M207" s="23">
        <f t="shared" si="25"/>
        <v>2.7604566219993083E-2</v>
      </c>
      <c r="N207" s="23">
        <f>SUMPRODUCT(H207:K207,Portfolio!$B$23:$E$23)</f>
        <v>2.288040938422899E-2</v>
      </c>
      <c r="O207" s="23">
        <f>SUMPRODUCT(H207:K207,Portfolio!$B$24:$E$24)</f>
        <v>2.3087299081791135E-2</v>
      </c>
      <c r="Q207" s="21">
        <f t="shared" si="26"/>
        <v>153.56480032822861</v>
      </c>
      <c r="R207" s="21">
        <f t="shared" si="27"/>
        <v>163.83383149635702</v>
      </c>
      <c r="S207" s="22">
        <f>Q207/MAX(Q$6:Q207)-1</f>
        <v>-2.3106801347075656E-2</v>
      </c>
      <c r="T207" s="22">
        <f>R207/MAX(R$6:R207)-1</f>
        <v>0</v>
      </c>
    </row>
    <row r="208" spans="1:20" x14ac:dyDescent="0.2">
      <c r="A208" s="18">
        <v>44078</v>
      </c>
      <c r="B208" s="19">
        <v>385.02</v>
      </c>
      <c r="C208" s="19">
        <v>140.47</v>
      </c>
      <c r="D208" s="19">
        <v>51.04</v>
      </c>
      <c r="E208" s="19">
        <v>0.27</v>
      </c>
      <c r="F208" s="20">
        <v>3426.96</v>
      </c>
      <c r="H208" s="23">
        <f t="shared" si="21"/>
        <v>-2.6719583407062819E-2</v>
      </c>
      <c r="I208" s="23">
        <f t="shared" si="22"/>
        <v>-2.1046762840616129E-2</v>
      </c>
      <c r="J208" s="23">
        <f t="shared" si="23"/>
        <v>2.428256070640189E-2</v>
      </c>
      <c r="K208" s="23">
        <f>E207/100/Inputs!$B$17-'Valuation and Bond'!$B$44*(E208-E207)/100+0.5*'Valuation and Bond'!$B$45*((E208-E207)/100)^2</f>
        <v>9.314549358426786E-4</v>
      </c>
      <c r="L208" s="23">
        <f t="shared" si="24"/>
        <v>-2.3104267091598962E-2</v>
      </c>
      <c r="M208" s="23">
        <f t="shared" si="25"/>
        <v>-2.1041213132599714E-3</v>
      </c>
      <c r="N208" s="23">
        <f>SUMPRODUCT(H208:K208,Portfolio!$B$23:$E$23)</f>
        <v>-5.6380826513585947E-3</v>
      </c>
      <c r="O208" s="23">
        <f>SUMPRODUCT(H208:K208,Portfolio!$B$24:$E$24)</f>
        <v>2.3663395843274201E-3</v>
      </c>
      <c r="Q208" s="21">
        <f t="shared" si="26"/>
        <v>153.24168135889147</v>
      </c>
      <c r="R208" s="21">
        <f t="shared" si="27"/>
        <v>160.04857089482516</v>
      </c>
      <c r="S208" s="22">
        <f>Q208/MAX(Q$6:Q208)-1</f>
        <v>-2.5162303147140075E-2</v>
      </c>
      <c r="T208" s="22">
        <f>R208/MAX(R$6:R208)-1</f>
        <v>-2.3104267091598962E-2</v>
      </c>
    </row>
    <row r="209" spans="1:20" x14ac:dyDescent="0.2">
      <c r="A209" s="18">
        <v>44085</v>
      </c>
      <c r="B209" s="19">
        <v>389.45</v>
      </c>
      <c r="C209" s="19">
        <v>136.37</v>
      </c>
      <c r="D209" s="19">
        <v>51.06</v>
      </c>
      <c r="E209" s="19">
        <v>0.27</v>
      </c>
      <c r="F209" s="20">
        <v>3340.97</v>
      </c>
      <c r="H209" s="23">
        <f t="shared" si="21"/>
        <v>1.1505895797620846E-2</v>
      </c>
      <c r="I209" s="23">
        <f t="shared" si="22"/>
        <v>-2.9187726916779289E-2</v>
      </c>
      <c r="J209" s="23">
        <f t="shared" si="23"/>
        <v>3.9184952978055243E-4</v>
      </c>
      <c r="K209" s="23">
        <f>E208/100/Inputs!$B$17-'Valuation and Bond'!$B$44*(E209-E208)/100+0.5*'Valuation and Bond'!$B$45*((E209-E208)/100)^2</f>
        <v>5.1923076923076928E-5</v>
      </c>
      <c r="L209" s="23">
        <f t="shared" si="24"/>
        <v>-2.5092210005369209E-2</v>
      </c>
      <c r="M209" s="23">
        <f t="shared" si="25"/>
        <v>-7.9647848576668515E-3</v>
      </c>
      <c r="N209" s="23">
        <f>SUMPRODUCT(H209:K209,Portfolio!$B$23:$E$23)</f>
        <v>-4.3095146281137029E-3</v>
      </c>
      <c r="O209" s="23">
        <f>SUMPRODUCT(H209:K209,Portfolio!$B$24:$E$24)</f>
        <v>-2.2278564089623465E-3</v>
      </c>
      <c r="Q209" s="21">
        <f t="shared" si="26"/>
        <v>152.02114433564077</v>
      </c>
      <c r="R209" s="21">
        <f t="shared" si="27"/>
        <v>156.03259854287299</v>
      </c>
      <c r="S209" s="22">
        <f>Q209/MAX(Q$6:Q209)-1</f>
        <v>-3.2926675673716432E-2</v>
      </c>
      <c r="T209" s="22">
        <f>R209/MAX(R$6:R209)-1</f>
        <v>-4.7616739975085642E-2</v>
      </c>
    </row>
    <row r="210" spans="1:20" x14ac:dyDescent="0.2">
      <c r="A210" s="18">
        <v>44092</v>
      </c>
      <c r="B210" s="19">
        <v>395.14</v>
      </c>
      <c r="C210" s="19">
        <v>138.66</v>
      </c>
      <c r="D210" s="19">
        <v>50.45</v>
      </c>
      <c r="E210" s="19">
        <v>0.28000000000000003</v>
      </c>
      <c r="F210" s="20">
        <v>3319.47</v>
      </c>
      <c r="H210" s="23">
        <f t="shared" si="21"/>
        <v>1.4610347926563128E-2</v>
      </c>
      <c r="I210" s="23">
        <f t="shared" si="22"/>
        <v>1.6792549681014846E-2</v>
      </c>
      <c r="J210" s="23">
        <f t="shared" si="23"/>
        <v>-1.1946729338033646E-2</v>
      </c>
      <c r="K210" s="23">
        <f>E209/100/Inputs!$B$17-'Valuation and Bond'!$B$44*(E210-E209)/100+0.5*'Valuation and Bond'!$B$45*((E210-E209)/100)^2</f>
        <v>-3.8558058441970643E-4</v>
      </c>
      <c r="L210" s="23">
        <f t="shared" si="24"/>
        <v>-6.4352568266102805E-3</v>
      </c>
      <c r="M210" s="23">
        <f t="shared" si="25"/>
        <v>3.3682752265342163E-3</v>
      </c>
      <c r="N210" s="23">
        <f>SUMPRODUCT(H210:K210,Portfolio!$B$23:$E$23)</f>
        <v>4.767646921281155E-3</v>
      </c>
      <c r="O210" s="23">
        <f>SUMPRODUCT(H210:K210,Portfolio!$B$24:$E$24)</f>
        <v>-9.3982035059526838E-5</v>
      </c>
      <c r="Q210" s="21">
        <f t="shared" si="26"/>
        <v>152.5331933900159</v>
      </c>
      <c r="R210" s="21">
        <f t="shared" si="27"/>
        <v>155.02848869792624</v>
      </c>
      <c r="S210" s="22">
        <f>Q210/MAX(Q$6:Q210)-1</f>
        <v>-2.9669306553146146E-2</v>
      </c>
      <c r="T210" s="22">
        <f>R210/MAX(R$6:R210)-1</f>
        <v>-5.37455708507103E-2</v>
      </c>
    </row>
    <row r="211" spans="1:20" x14ac:dyDescent="0.2">
      <c r="A211" s="18">
        <v>44099</v>
      </c>
      <c r="B211" s="19">
        <v>386.7</v>
      </c>
      <c r="C211" s="19">
        <v>138.32</v>
      </c>
      <c r="D211" s="19">
        <v>48.72</v>
      </c>
      <c r="E211" s="19">
        <v>0.27</v>
      </c>
      <c r="F211" s="20">
        <v>3298.46</v>
      </c>
      <c r="H211" s="23">
        <f t="shared" si="21"/>
        <v>-2.1359518145467438E-2</v>
      </c>
      <c r="I211" s="23">
        <f t="shared" si="22"/>
        <v>-2.4520409635079288E-3</v>
      </c>
      <c r="J211" s="23">
        <f t="shared" si="23"/>
        <v>-3.4291377601585848E-2</v>
      </c>
      <c r="K211" s="23">
        <f>E210/100/Inputs!$B$17-'Valuation and Bond'!$B$44*(E211-E210)/100+0.5*'Valuation and Bond'!$B$45*((E211-E210)/100)^2</f>
        <v>4.9157594265156505E-4</v>
      </c>
      <c r="L211" s="23">
        <f t="shared" si="24"/>
        <v>-6.3293236570897138E-3</v>
      </c>
      <c r="M211" s="23">
        <f t="shared" si="25"/>
        <v>-1.5114334424236963E-2</v>
      </c>
      <c r="N211" s="23">
        <f>SUMPRODUCT(H211:K211,Portfolio!$B$23:$E$23)</f>
        <v>-1.4402840191977413E-2</v>
      </c>
      <c r="O211" s="23">
        <f>SUMPRODUCT(H211:K211,Portfolio!$B$24:$E$24)</f>
        <v>-1.4495751329115705E-2</v>
      </c>
      <c r="Q211" s="21">
        <f t="shared" si="26"/>
        <v>150.22775569432238</v>
      </c>
      <c r="R211" s="21">
        <f t="shared" si="27"/>
        <v>154.04726321688759</v>
      </c>
      <c r="S211" s="22">
        <f>Q211/MAX(Q$6:Q211)-1</f>
        <v>-4.4335209156003641E-2</v>
      </c>
      <c r="T211" s="22">
        <f>R211/MAX(R$6:R211)-1</f>
        <v>-5.9734721394750778E-2</v>
      </c>
    </row>
    <row r="212" spans="1:20" x14ac:dyDescent="0.2">
      <c r="A212" s="18">
        <v>44106</v>
      </c>
      <c r="B212" s="19">
        <v>380.58</v>
      </c>
      <c r="C212" s="19">
        <v>141.09</v>
      </c>
      <c r="D212" s="19">
        <v>49.36</v>
      </c>
      <c r="E212" s="19">
        <v>0.27</v>
      </c>
      <c r="F212" s="20">
        <v>3348.44</v>
      </c>
      <c r="H212" s="23">
        <f t="shared" si="21"/>
        <v>-1.5826221877424329E-2</v>
      </c>
      <c r="I212" s="23">
        <f t="shared" si="22"/>
        <v>2.0026026604974101E-2</v>
      </c>
      <c r="J212" s="23">
        <f t="shared" si="23"/>
        <v>1.3136288998357948E-2</v>
      </c>
      <c r="K212" s="23">
        <f>E211/100/Inputs!$B$17-'Valuation and Bond'!$B$44*(E212-E211)/100+0.5*'Valuation and Bond'!$B$45*((E212-E211)/100)^2</f>
        <v>5.1923076923076928E-5</v>
      </c>
      <c r="L212" s="23">
        <f t="shared" si="24"/>
        <v>1.5152525724125843E-2</v>
      </c>
      <c r="M212" s="23">
        <f t="shared" si="25"/>
        <v>8.9554965332131527E-3</v>
      </c>
      <c r="N212" s="23">
        <f>SUMPRODUCT(H212:K212,Portfolio!$B$23:$E$23)</f>
        <v>4.3470042007076994E-3</v>
      </c>
      <c r="O212" s="23">
        <f>SUMPRODUCT(H212:K212,Portfolio!$B$24:$E$24)</f>
        <v>5.0814762370116427E-3</v>
      </c>
      <c r="Q212" s="21">
        <f t="shared" si="26"/>
        <v>151.5731198396353</v>
      </c>
      <c r="R212" s="21">
        <f t="shared" si="27"/>
        <v>156.38146833551266</v>
      </c>
      <c r="S212" s="22">
        <f>Q212/MAX(Q$6:Q212)-1</f>
        <v>-3.5776756434686252E-2</v>
      </c>
      <c r="T212" s="22">
        <f>R212/MAX(R$6:R212)-1</f>
        <v>-4.5487327573182412E-2</v>
      </c>
    </row>
    <row r="213" spans="1:20" x14ac:dyDescent="0.2">
      <c r="A213" s="18">
        <v>44113</v>
      </c>
      <c r="B213" s="19">
        <v>385.93</v>
      </c>
      <c r="C213" s="19">
        <v>150.91</v>
      </c>
      <c r="D213" s="19">
        <v>50.81</v>
      </c>
      <c r="E213" s="19">
        <v>0.33</v>
      </c>
      <c r="F213" s="20">
        <v>3477.13</v>
      </c>
      <c r="H213" s="23">
        <f t="shared" si="21"/>
        <v>1.4057491197645655E-2</v>
      </c>
      <c r="I213" s="23">
        <f t="shared" si="22"/>
        <v>6.9600963923736492E-2</v>
      </c>
      <c r="J213" s="23">
        <f t="shared" si="23"/>
        <v>2.9376012965964371E-2</v>
      </c>
      <c r="K213" s="23">
        <f>E212/100/Inputs!$B$17-'Valuation and Bond'!$B$44*(E213-E212)/100+0.5*'Valuation and Bond'!$B$45*((E213-E212)/100)^2</f>
        <v>-2.5697069791942029E-3</v>
      </c>
      <c r="L213" s="23">
        <f t="shared" si="24"/>
        <v>3.8432822448662751E-2</v>
      </c>
      <c r="M213" s="23">
        <f t="shared" si="25"/>
        <v>3.4231398658695233E-2</v>
      </c>
      <c r="N213" s="23">
        <f>SUMPRODUCT(H213:K213,Portfolio!$B$23:$E$23)</f>
        <v>2.7616190277038079E-2</v>
      </c>
      <c r="O213" s="23">
        <f>SUMPRODUCT(H213:K213,Portfolio!$B$24:$E$24)</f>
        <v>1.9948951038773685E-2</v>
      </c>
      <c r="Q213" s="21">
        <f t="shared" si="26"/>
        <v>156.76167973080805</v>
      </c>
      <c r="R213" s="21">
        <f t="shared" si="27"/>
        <v>162.39164954231259</v>
      </c>
      <c r="S213" s="22">
        <f>Q213/MAX(Q$6:Q213)-1</f>
        <v>-2.770046188221742E-3</v>
      </c>
      <c r="T213" s="22">
        <f>R213/MAX(R$6:R213)-1</f>
        <v>-8.802711508803962E-3</v>
      </c>
    </row>
    <row r="214" spans="1:20" x14ac:dyDescent="0.2">
      <c r="A214" s="18">
        <v>44120</v>
      </c>
      <c r="B214" s="19">
        <v>386.5</v>
      </c>
      <c r="C214" s="19">
        <v>153.12</v>
      </c>
      <c r="D214" s="19">
        <v>50.03</v>
      </c>
      <c r="E214" s="19">
        <v>0.31</v>
      </c>
      <c r="F214" s="20">
        <v>3483.81</v>
      </c>
      <c r="H214" s="23">
        <f t="shared" si="21"/>
        <v>1.4769517788200126E-3</v>
      </c>
      <c r="I214" s="23">
        <f t="shared" si="22"/>
        <v>1.4644490093433271E-2</v>
      </c>
      <c r="J214" s="23">
        <f t="shared" si="23"/>
        <v>-1.5351308797480812E-2</v>
      </c>
      <c r="K214" s="23">
        <f>E213/100/Inputs!$B$17-'Valuation and Bond'!$B$44*(E214-E213)/100+0.5*'Valuation and Bond'!$B$45*((E214-E213)/100)^2</f>
        <v>9.3914724353498871E-4</v>
      </c>
      <c r="L214" s="23">
        <f t="shared" si="24"/>
        <v>1.9211246056374254E-3</v>
      </c>
      <c r="M214" s="23">
        <f t="shared" si="25"/>
        <v>3.5140571083854542E-5</v>
      </c>
      <c r="N214" s="23">
        <f>SUMPRODUCT(H214:K214,Portfolio!$B$23:$E$23)</f>
        <v>4.2732007957686519E-4</v>
      </c>
      <c r="O214" s="23">
        <f>SUMPRODUCT(H214:K214,Portfolio!$B$24:$E$24)</f>
        <v>-2.6945198196322911E-3</v>
      </c>
      <c r="Q214" s="21">
        <f t="shared" si="26"/>
        <v>156.76718842575787</v>
      </c>
      <c r="R214" s="21">
        <f t="shared" si="27"/>
        <v>162.70362413599838</v>
      </c>
      <c r="S214" s="22">
        <f>Q214/MAX(Q$6:Q214)-1</f>
        <v>-2.7350029581427737E-3</v>
      </c>
      <c r="T214" s="22">
        <f>R214/MAX(R$6:R214)-1</f>
        <v>-6.8984980088423464E-3</v>
      </c>
    </row>
    <row r="215" spans="1:20" x14ac:dyDescent="0.2">
      <c r="A215" s="18">
        <v>44127</v>
      </c>
      <c r="B215" s="19">
        <v>374.33</v>
      </c>
      <c r="C215" s="19">
        <v>149.96</v>
      </c>
      <c r="D215" s="19">
        <v>50.52</v>
      </c>
      <c r="E215" s="19">
        <v>0.36</v>
      </c>
      <c r="F215" s="20">
        <v>3465.39</v>
      </c>
      <c r="H215" s="23">
        <f t="shared" si="21"/>
        <v>-3.1487710219922471E-2</v>
      </c>
      <c r="I215" s="23">
        <f t="shared" si="22"/>
        <v>-2.0637408568442983E-2</v>
      </c>
      <c r="J215" s="23">
        <f t="shared" si="23"/>
        <v>9.7941235258844905E-3</v>
      </c>
      <c r="K215" s="23">
        <f>E214/100/Inputs!$B$17-'Valuation and Bond'!$B$44*(E215-E214)/100+0.5*'Valuation and Bond'!$B$45*((E215-E214)/100)^2</f>
        <v>-2.1256416474722513E-3</v>
      </c>
      <c r="L215" s="23">
        <f t="shared" si="24"/>
        <v>-5.2873147502303652E-3</v>
      </c>
      <c r="M215" s="23">
        <f t="shared" si="25"/>
        <v>-8.102078071234347E-3</v>
      </c>
      <c r="N215" s="23">
        <f>SUMPRODUCT(H215:K215,Portfolio!$B$23:$E$23)</f>
        <v>-1.1114159227488304E-2</v>
      </c>
      <c r="O215" s="23">
        <f>SUMPRODUCT(H215:K215,Portfolio!$B$24:$E$24)</f>
        <v>-4.3241457625816798E-3</v>
      </c>
      <c r="Q215" s="21">
        <f t="shared" si="26"/>
        <v>155.49704842612448</v>
      </c>
      <c r="R215" s="21">
        <f t="shared" si="27"/>
        <v>161.84335886418819</v>
      </c>
      <c r="S215" s="22">
        <f>Q215/MAX(Q$6:Q215)-1</f>
        <v>-1.0814921821885148E-2</v>
      </c>
      <c r="T215" s="22">
        <f>R215/MAX(R$6:R215)-1</f>
        <v>-1.2149338228796158E-2</v>
      </c>
    </row>
    <row r="216" spans="1:20" x14ac:dyDescent="0.2">
      <c r="A216" s="18">
        <v>44134</v>
      </c>
      <c r="B216" s="19">
        <v>350.13</v>
      </c>
      <c r="C216" s="19">
        <v>144.59</v>
      </c>
      <c r="D216" s="19">
        <v>48.06</v>
      </c>
      <c r="E216" s="19">
        <v>0.36</v>
      </c>
      <c r="F216" s="20">
        <v>3269.96</v>
      </c>
      <c r="H216" s="23">
        <f t="shared" si="21"/>
        <v>-6.4648839259476953E-2</v>
      </c>
      <c r="I216" s="23">
        <f t="shared" si="22"/>
        <v>-3.5809549213123515E-2</v>
      </c>
      <c r="J216" s="23">
        <f t="shared" si="23"/>
        <v>-4.8693586698337343E-2</v>
      </c>
      <c r="K216" s="23">
        <f>E215/100/Inputs!$B$17-'Valuation and Bond'!$B$44*(E216-E215)/100+0.5*'Valuation and Bond'!$B$45*((E216-E215)/100)^2</f>
        <v>6.9230769230769224E-5</v>
      </c>
      <c r="L216" s="23">
        <f t="shared" si="24"/>
        <v>-5.6394806933707242E-2</v>
      </c>
      <c r="M216" s="23">
        <f t="shared" si="25"/>
        <v>-3.6803361799054156E-2</v>
      </c>
      <c r="N216" s="23">
        <f>SUMPRODUCT(H216:K216,Portfolio!$B$23:$E$23)</f>
        <v>-3.7270686100426761E-2</v>
      </c>
      <c r="O216" s="23">
        <f>SUMPRODUCT(H216:K216,Portfolio!$B$24:$E$24)</f>
        <v>-2.9539245203398682E-2</v>
      </c>
      <c r="Q216" s="21">
        <f t="shared" si="26"/>
        <v>149.77423429421276</v>
      </c>
      <c r="R216" s="21">
        <f t="shared" si="27"/>
        <v>152.7162338875396</v>
      </c>
      <c r="S216" s="22">
        <f>Q216/MAX(Q$6:Q216)-1</f>
        <v>-4.7220258140300064E-2</v>
      </c>
      <c r="T216" s="22">
        <f>R216/MAX(R$6:R216)-1</f>
        <v>-6.7858985578718056E-2</v>
      </c>
    </row>
    <row r="217" spans="1:20" x14ac:dyDescent="0.2">
      <c r="A217" s="18">
        <v>44141</v>
      </c>
      <c r="B217" s="19">
        <v>361.27</v>
      </c>
      <c r="C217" s="19">
        <v>157.74</v>
      </c>
      <c r="D217" s="19">
        <v>49.45</v>
      </c>
      <c r="E217" s="19">
        <v>0.36</v>
      </c>
      <c r="F217" s="20">
        <v>3509.44</v>
      </c>
      <c r="H217" s="23">
        <f t="shared" si="21"/>
        <v>3.1816753777168527E-2</v>
      </c>
      <c r="I217" s="23">
        <f t="shared" si="22"/>
        <v>9.0946815132443515E-2</v>
      </c>
      <c r="J217" s="23">
        <f t="shared" si="23"/>
        <v>2.89221806075739E-2</v>
      </c>
      <c r="K217" s="23">
        <f>E216/100/Inputs!$B$17-'Valuation and Bond'!$B$44*(E217-E216)/100+0.5*'Valuation and Bond'!$B$45*((E217-E216)/100)^2</f>
        <v>6.9230769230769224E-5</v>
      </c>
      <c r="L217" s="23">
        <f t="shared" si="24"/>
        <v>7.3236369863851625E-2</v>
      </c>
      <c r="M217" s="23">
        <f t="shared" si="25"/>
        <v>4.4003250978083538E-2</v>
      </c>
      <c r="N217" s="23">
        <f>SUMPRODUCT(H217:K217,Portfolio!$B$23:$E$23)</f>
        <v>3.7938745071604177E-2</v>
      </c>
      <c r="O217" s="23">
        <f>SUMPRODUCT(H217:K217,Portfolio!$B$24:$E$24)</f>
        <v>2.596617276489013E-2</v>
      </c>
      <c r="Q217" s="21">
        <f t="shared" si="26"/>
        <v>156.36478751591127</v>
      </c>
      <c r="R217" s="21">
        <f t="shared" si="27"/>
        <v>163.90061647674193</v>
      </c>
      <c r="S217" s="22">
        <f>Q217/MAX(Q$6:Q217)-1</f>
        <v>-5.294852032414199E-3</v>
      </c>
      <c r="T217" s="22">
        <f>R217/MAX(R$6:R217)-1</f>
        <v>0</v>
      </c>
    </row>
    <row r="218" spans="1:20" x14ac:dyDescent="0.2">
      <c r="A218" s="18">
        <v>44148</v>
      </c>
      <c r="B218" s="19">
        <v>375.14</v>
      </c>
      <c r="C218" s="19">
        <v>156.65</v>
      </c>
      <c r="D218" s="19">
        <v>53.45</v>
      </c>
      <c r="E218" s="19">
        <v>0.43</v>
      </c>
      <c r="F218" s="20">
        <v>3585.15</v>
      </c>
      <c r="H218" s="23">
        <f t="shared" si="21"/>
        <v>3.8392338140448956E-2</v>
      </c>
      <c r="I218" s="23">
        <f t="shared" si="22"/>
        <v>-6.9101052364650695E-3</v>
      </c>
      <c r="J218" s="23">
        <f t="shared" si="23"/>
        <v>8.0889787664307322E-2</v>
      </c>
      <c r="K218" s="23">
        <f>E217/100/Inputs!$B$17-'Valuation and Bond'!$B$44*(E218-E217)/100+0.5*'Valuation and Bond'!$B$45*((E218-E217)/100)^2</f>
        <v>-2.988546183453527E-3</v>
      </c>
      <c r="L218" s="23">
        <f t="shared" si="24"/>
        <v>2.1573242454636654E-2</v>
      </c>
      <c r="M218" s="23">
        <f t="shared" si="25"/>
        <v>2.950924417558903E-2</v>
      </c>
      <c r="N218" s="23">
        <f>SUMPRODUCT(H218:K218,Portfolio!$B$23:$E$23)</f>
        <v>2.7345868596209421E-2</v>
      </c>
      <c r="O218" s="23">
        <f>SUMPRODUCT(H218:K218,Portfolio!$B$24:$E$24)</f>
        <v>3.0235827061515372E-2</v>
      </c>
      <c r="Q218" s="21">
        <f t="shared" si="26"/>
        <v>160.9789942111824</v>
      </c>
      <c r="R218" s="21">
        <f t="shared" si="27"/>
        <v>167.43648421445911</v>
      </c>
      <c r="S218" s="22">
        <f>Q218/MAX(Q$6:Q218)-1</f>
        <v>0</v>
      </c>
      <c r="T218" s="22">
        <f>R218/MAX(R$6:R218)-1</f>
        <v>0</v>
      </c>
    </row>
    <row r="219" spans="1:20" x14ac:dyDescent="0.2">
      <c r="A219" s="18">
        <v>44155</v>
      </c>
      <c r="B219" s="19">
        <v>368.02</v>
      </c>
      <c r="C219" s="19">
        <v>156.82</v>
      </c>
      <c r="D219" s="19">
        <v>52.67</v>
      </c>
      <c r="E219" s="19">
        <v>0.39</v>
      </c>
      <c r="F219" s="20">
        <v>3557.54</v>
      </c>
      <c r="H219" s="23">
        <f t="shared" si="21"/>
        <v>-1.8979580956442921E-2</v>
      </c>
      <c r="I219" s="23">
        <f t="shared" si="22"/>
        <v>1.0852218321097951E-3</v>
      </c>
      <c r="J219" s="23">
        <f t="shared" si="23"/>
        <v>-1.4593077642656715E-2</v>
      </c>
      <c r="K219" s="23">
        <f>E218/100/Inputs!$B$17-'Valuation and Bond'!$B$44*(E219-E218)/100+0.5*'Valuation and Bond'!$B$45*((E219-E218)/100)^2</f>
        <v>1.8349682276897173E-3</v>
      </c>
      <c r="L219" s="23">
        <f t="shared" si="24"/>
        <v>-7.7012119437123161E-3</v>
      </c>
      <c r="M219" s="23">
        <f t="shared" si="25"/>
        <v>-6.7148413309911521E-3</v>
      </c>
      <c r="N219" s="23">
        <f>SUMPRODUCT(H219:K219,Portfolio!$B$23:$E$23)</f>
        <v>-7.663117134825031E-3</v>
      </c>
      <c r="O219" s="23">
        <f>SUMPRODUCT(H219:K219,Portfolio!$B$24:$E$24)</f>
        <v>-6.5114727212060982E-3</v>
      </c>
      <c r="Q219" s="21">
        <f t="shared" si="26"/>
        <v>159.89804580743174</v>
      </c>
      <c r="R219" s="21">
        <f t="shared" si="27"/>
        <v>166.14702036241351</v>
      </c>
      <c r="S219" s="22">
        <f>Q219/MAX(Q$6:Q219)-1</f>
        <v>-6.7148413309913169E-3</v>
      </c>
      <c r="T219" s="22">
        <f>R219/MAX(R$6:R219)-1</f>
        <v>-7.7012119437123161E-3</v>
      </c>
    </row>
    <row r="220" spans="1:20" x14ac:dyDescent="0.2">
      <c r="A220" s="18">
        <v>44162</v>
      </c>
      <c r="B220" s="19">
        <v>374.34</v>
      </c>
      <c r="C220" s="19">
        <v>158.99</v>
      </c>
      <c r="D220" s="19">
        <v>52.7</v>
      </c>
      <c r="E220" s="19">
        <v>0.39</v>
      </c>
      <c r="F220" s="20">
        <v>3638.35</v>
      </c>
      <c r="H220" s="23">
        <f t="shared" si="21"/>
        <v>1.7172979729362492E-2</v>
      </c>
      <c r="I220" s="23">
        <f t="shared" si="22"/>
        <v>1.3837520724397478E-2</v>
      </c>
      <c r="J220" s="23">
        <f t="shared" si="23"/>
        <v>5.6958420353137029E-4</v>
      </c>
      <c r="K220" s="23">
        <f>E219/100/Inputs!$B$17-'Valuation and Bond'!$B$44*(E220-E219)/100+0.5*'Valuation and Bond'!$B$45*((E220-E219)/100)^2</f>
        <v>7.5000000000000007E-5</v>
      </c>
      <c r="L220" s="23">
        <f t="shared" si="24"/>
        <v>2.2715134615492794E-2</v>
      </c>
      <c r="M220" s="23">
        <f t="shared" si="25"/>
        <v>7.0490363218835362E-3</v>
      </c>
      <c r="N220" s="23">
        <f>SUMPRODUCT(H220:K220,Portfolio!$B$23:$E$23)</f>
        <v>7.9137711643228349E-3</v>
      </c>
      <c r="O220" s="23">
        <f>SUMPRODUCT(H220:K220,Portfolio!$B$24:$E$24)</f>
        <v>4.2686030007611257E-3</v>
      </c>
      <c r="Q220" s="21">
        <f t="shared" si="26"/>
        <v>161.02517294012654</v>
      </c>
      <c r="R220" s="21">
        <f t="shared" si="27"/>
        <v>169.92107229590877</v>
      </c>
      <c r="S220" s="22">
        <f>Q220/MAX(Q$6:Q220)-1</f>
        <v>0</v>
      </c>
      <c r="T220" s="22">
        <f>R220/MAX(R$6:R220)-1</f>
        <v>0</v>
      </c>
    </row>
    <row r="221" spans="1:20" x14ac:dyDescent="0.2">
      <c r="A221" s="18">
        <v>44169</v>
      </c>
      <c r="B221" s="19">
        <v>366.61</v>
      </c>
      <c r="C221" s="19">
        <v>166.52</v>
      </c>
      <c r="D221" s="19">
        <v>53.85</v>
      </c>
      <c r="E221" s="19">
        <v>0.4</v>
      </c>
      <c r="F221" s="20">
        <v>3699.12</v>
      </c>
      <c r="H221" s="23">
        <f t="shared" si="21"/>
        <v>-2.0649676764438629E-2</v>
      </c>
      <c r="I221" s="23">
        <f t="shared" si="22"/>
        <v>4.736146927479723E-2</v>
      </c>
      <c r="J221" s="23">
        <f t="shared" si="23"/>
        <v>2.182163187855779E-2</v>
      </c>
      <c r="K221" s="23">
        <f>E220/100/Inputs!$B$17-'Valuation and Bond'!$B$44*(E221-E220)/100+0.5*'Valuation and Bond'!$B$45*((E221-E220)/100)^2</f>
        <v>-3.6250366134278335E-4</v>
      </c>
      <c r="L221" s="23">
        <f t="shared" si="24"/>
        <v>1.6702626190443493E-2</v>
      </c>
      <c r="M221" s="23">
        <f t="shared" si="25"/>
        <v>2.0185502716139666E-2</v>
      </c>
      <c r="N221" s="23">
        <f>SUMPRODUCT(H221:K221,Portfolio!$B$23:$E$23)</f>
        <v>1.2042730181893401E-2</v>
      </c>
      <c r="O221" s="23">
        <f>SUMPRODUCT(H221:K221,Portfolio!$B$24:$E$24)</f>
        <v>1.0854900449777423E-2</v>
      </c>
      <c r="Q221" s="21">
        <f t="shared" si="26"/>
        <v>164.27554700587632</v>
      </c>
      <c r="R221" s="21">
        <f t="shared" si="27"/>
        <v>172.75920044834666</v>
      </c>
      <c r="S221" s="22">
        <f>Q221/MAX(Q$6:Q221)-1</f>
        <v>0</v>
      </c>
      <c r="T221" s="22">
        <f>R221/MAX(R$6:R221)-1</f>
        <v>0</v>
      </c>
    </row>
    <row r="222" spans="1:20" x14ac:dyDescent="0.2">
      <c r="A222" s="18">
        <v>44176</v>
      </c>
      <c r="B222" s="19">
        <v>361.71</v>
      </c>
      <c r="C222" s="19">
        <v>160.61000000000001</v>
      </c>
      <c r="D222" s="19">
        <v>53.35</v>
      </c>
      <c r="E222" s="19">
        <v>0.39</v>
      </c>
      <c r="F222" s="20">
        <v>3663.46</v>
      </c>
      <c r="H222" s="23">
        <f t="shared" si="21"/>
        <v>-1.3365701972123056E-2</v>
      </c>
      <c r="I222" s="23">
        <f t="shared" si="22"/>
        <v>-3.5491232284410312E-2</v>
      </c>
      <c r="J222" s="23">
        <f t="shared" si="23"/>
        <v>-9.2850510677808806E-3</v>
      </c>
      <c r="K222" s="23">
        <f>E221/100/Inputs!$B$17-'Valuation and Bond'!$B$44*(E222-E221)/100+0.5*'Valuation and Bond'!$B$45*((E222-E221)/100)^2</f>
        <v>5.1465286572848813E-4</v>
      </c>
      <c r="L222" s="23">
        <f t="shared" si="24"/>
        <v>-9.6401306256622687E-3</v>
      </c>
      <c r="M222" s="23">
        <f t="shared" si="25"/>
        <v>-1.6513836327392058E-2</v>
      </c>
      <c r="N222" s="23">
        <f>SUMPRODUCT(H222:K222,Portfolio!$B$23:$E$23)</f>
        <v>-1.4406833114646441E-2</v>
      </c>
      <c r="O222" s="23">
        <f>SUMPRODUCT(H222:K222,Portfolio!$B$24:$E$24)</f>
        <v>-9.3608637890285756E-3</v>
      </c>
      <c r="Q222" s="21">
        <f t="shared" si="26"/>
        <v>161.56272751002848</v>
      </c>
      <c r="R222" s="21">
        <f t="shared" si="27"/>
        <v>171.09377918923963</v>
      </c>
      <c r="S222" s="22">
        <f>Q222/MAX(Q$6:Q222)-1</f>
        <v>-1.6513836327392006E-2</v>
      </c>
      <c r="T222" s="22">
        <f>R222/MAX(R$6:R222)-1</f>
        <v>-9.6401306256622687E-3</v>
      </c>
    </row>
    <row r="223" spans="1:20" x14ac:dyDescent="0.2">
      <c r="A223" s="18">
        <v>44183</v>
      </c>
      <c r="B223" s="19">
        <v>356.03</v>
      </c>
      <c r="C223" s="19">
        <v>164.07</v>
      </c>
      <c r="D223" s="19">
        <v>53.74</v>
      </c>
      <c r="E223" s="19">
        <v>0.38</v>
      </c>
      <c r="F223" s="20">
        <v>3709.41</v>
      </c>
      <c r="H223" s="23">
        <f t="shared" si="21"/>
        <v>-1.5703187636504357E-2</v>
      </c>
      <c r="I223" s="23">
        <f t="shared" si="22"/>
        <v>2.1542867816449762E-2</v>
      </c>
      <c r="J223" s="23">
        <f t="shared" si="23"/>
        <v>7.3102155576383332E-3</v>
      </c>
      <c r="K223" s="23">
        <f>E222/100/Inputs!$B$17-'Valuation and Bond'!$B$44*(E223-E222)/100+0.5*'Valuation and Bond'!$B$45*((E223-E222)/100)^2</f>
        <v>5.1272978880541114E-4</v>
      </c>
      <c r="L223" s="23">
        <f t="shared" si="24"/>
        <v>1.2542787419543178E-2</v>
      </c>
      <c r="M223" s="23">
        <f t="shared" si="25"/>
        <v>7.5982177260556149E-3</v>
      </c>
      <c r="N223" s="23">
        <f>SUMPRODUCT(H223:K223,Portfolio!$B$23:$E$23)</f>
        <v>3.4156563815972876E-3</v>
      </c>
      <c r="O223" s="23">
        <f>SUMPRODUCT(H223:K223,Portfolio!$B$24:$E$24)</f>
        <v>3.5091967374468046E-3</v>
      </c>
      <c r="Q223" s="21">
        <f t="shared" si="26"/>
        <v>162.79031629006508</v>
      </c>
      <c r="R223" s="21">
        <f t="shared" si="27"/>
        <v>173.23977209041652</v>
      </c>
      <c r="S223" s="22">
        <f>Q223/MAX(Q$6:Q223)-1</f>
        <v>-9.0410943252443587E-3</v>
      </c>
      <c r="T223" s="22">
        <f>R223/MAX(R$6:R223)-1</f>
        <v>0</v>
      </c>
    </row>
    <row r="224" spans="1:20" x14ac:dyDescent="0.2">
      <c r="A224" s="18">
        <v>44190</v>
      </c>
      <c r="B224" s="19">
        <v>351.97</v>
      </c>
      <c r="C224" s="19">
        <v>161.63999999999999</v>
      </c>
      <c r="D224" s="19">
        <v>53.44</v>
      </c>
      <c r="E224" s="19">
        <v>0.38</v>
      </c>
      <c r="F224" s="20">
        <v>3703.06</v>
      </c>
      <c r="H224" s="23">
        <f t="shared" si="21"/>
        <v>-1.1403533410105693E-2</v>
      </c>
      <c r="I224" s="23">
        <f t="shared" si="22"/>
        <v>-1.4810751508502529E-2</v>
      </c>
      <c r="J224" s="23">
        <f t="shared" si="23"/>
        <v>-5.5824339411983948E-3</v>
      </c>
      <c r="K224" s="23">
        <f>E223/100/Inputs!$B$17-'Valuation and Bond'!$B$44*(E224-E223)/100+0.5*'Valuation and Bond'!$B$45*((E224-E223)/100)^2</f>
        <v>7.3076923076923075E-5</v>
      </c>
      <c r="L224" s="23">
        <f t="shared" si="24"/>
        <v>-1.7118625333947257E-3</v>
      </c>
      <c r="M224" s="23">
        <f t="shared" si="25"/>
        <v>-8.2679722451839133E-3</v>
      </c>
      <c r="N224" s="23">
        <f>SUMPRODUCT(H224:K224,Portfolio!$B$23:$E$23)</f>
        <v>-7.9309104841824227E-3</v>
      </c>
      <c r="O224" s="23">
        <f>SUMPRODUCT(H224:K224,Portfolio!$B$24:$E$24)</f>
        <v>-5.2923985629414853E-3</v>
      </c>
      <c r="Q224" s="21">
        <f t="shared" si="26"/>
        <v>161.44437047319411</v>
      </c>
      <c r="R224" s="21">
        <f t="shared" si="27"/>
        <v>172.9432094152811</v>
      </c>
      <c r="S224" s="22">
        <f>Q224/MAX(Q$6:Q224)-1</f>
        <v>-1.7234315053481053E-2</v>
      </c>
      <c r="T224" s="22">
        <f>R224/MAX(R$6:R224)-1</f>
        <v>-1.7118625333947257E-3</v>
      </c>
    </row>
    <row r="225" spans="1:20" x14ac:dyDescent="0.2">
      <c r="A225" s="18">
        <v>44197</v>
      </c>
      <c r="B225" s="19">
        <v>354.98</v>
      </c>
      <c r="C225" s="19">
        <v>164.13</v>
      </c>
      <c r="D225" s="19">
        <v>54.84</v>
      </c>
      <c r="E225" s="19">
        <v>0.37</v>
      </c>
      <c r="F225" s="20">
        <v>3756.07</v>
      </c>
      <c r="H225" s="23">
        <f t="shared" si="21"/>
        <v>8.5518652157854369E-3</v>
      </c>
      <c r="I225" s="23">
        <f t="shared" si="22"/>
        <v>1.5404602821083913E-2</v>
      </c>
      <c r="J225" s="23">
        <f t="shared" si="23"/>
        <v>2.6197604790419327E-2</v>
      </c>
      <c r="K225" s="23">
        <f>E224/100/Inputs!$B$17-'Valuation and Bond'!$B$44*(E225-E224)/100+0.5*'Valuation and Bond'!$B$45*((E225-E224)/100)^2</f>
        <v>5.1080671188233426E-4</v>
      </c>
      <c r="L225" s="23">
        <f t="shared" si="24"/>
        <v>1.4315187979671018E-2</v>
      </c>
      <c r="M225" s="23">
        <f t="shared" si="25"/>
        <v>1.5160494031192254E-2</v>
      </c>
      <c r="N225" s="23">
        <f>SUMPRODUCT(H225:K225,Portfolio!$B$23:$E$23)</f>
        <v>1.2666219884792752E-2</v>
      </c>
      <c r="O225" s="23">
        <f>SUMPRODUCT(H225:K225,Portfolio!$B$24:$E$24)</f>
        <v>1.2219356267094212E-2</v>
      </c>
      <c r="Q225" s="21">
        <f t="shared" si="26"/>
        <v>163.89194688812256</v>
      </c>
      <c r="R225" s="21">
        <f t="shared" si="27"/>
        <v>175.41892396786847</v>
      </c>
      <c r="S225" s="22">
        <f>Q225/MAX(Q$6:Q225)-1</f>
        <v>-2.3351017527888374E-3</v>
      </c>
      <c r="T225" s="22">
        <f>R225/MAX(R$6:R225)-1</f>
        <v>0</v>
      </c>
    </row>
    <row r="226" spans="1:20" x14ac:dyDescent="0.2">
      <c r="A226" s="18">
        <v>44204</v>
      </c>
      <c r="B226" s="19">
        <v>336.1</v>
      </c>
      <c r="C226" s="19">
        <v>171.16</v>
      </c>
      <c r="D226" s="19">
        <v>51.08</v>
      </c>
      <c r="E226" s="19">
        <v>0.42</v>
      </c>
      <c r="F226" s="20">
        <v>3824.68</v>
      </c>
      <c r="H226" s="23">
        <f t="shared" si="21"/>
        <v>-5.3186094991267141E-2</v>
      </c>
      <c r="I226" s="23">
        <f t="shared" si="22"/>
        <v>4.2831901541461104E-2</v>
      </c>
      <c r="J226" s="23">
        <f t="shared" si="23"/>
        <v>-6.8563092633114553E-2</v>
      </c>
      <c r="K226" s="23">
        <f>E225/100/Inputs!$B$17-'Valuation and Bond'!$B$44*(E226-E225)/100+0.5*'Valuation and Bond'!$B$45*((E226-E225)/100)^2</f>
        <v>-2.1141031859337896E-3</v>
      </c>
      <c r="L226" s="23">
        <f t="shared" si="24"/>
        <v>1.8266432734214133E-2</v>
      </c>
      <c r="M226" s="23">
        <f t="shared" si="25"/>
        <v>-1.6475494478523652E-2</v>
      </c>
      <c r="N226" s="23">
        <f>SUMPRODUCT(H226:K226,Portfolio!$B$23:$E$23)</f>
        <v>-2.0257847317213595E-2</v>
      </c>
      <c r="O226" s="23">
        <f>SUMPRODUCT(H226:K226,Portfolio!$B$24:$E$24)</f>
        <v>-2.5252704629494294E-2</v>
      </c>
      <c r="Q226" s="21">
        <f t="shared" si="26"/>
        <v>161.19174602209279</v>
      </c>
      <c r="R226" s="21">
        <f t="shared" si="27"/>
        <v>178.62320194283575</v>
      </c>
      <c r="S226" s="22">
        <f>Q226/MAX(Q$6:Q226)-1</f>
        <v>-1.8772124275277746E-2</v>
      </c>
      <c r="T226" s="22">
        <f>R226/MAX(R$6:R226)-1</f>
        <v>0</v>
      </c>
    </row>
    <row r="227" spans="1:20" x14ac:dyDescent="0.2">
      <c r="A227" s="18">
        <v>44211</v>
      </c>
      <c r="B227" s="19">
        <v>347.27</v>
      </c>
      <c r="C227" s="19">
        <v>169.19</v>
      </c>
      <c r="D227" s="19">
        <v>48.7</v>
      </c>
      <c r="E227" s="19">
        <v>0.49</v>
      </c>
      <c r="F227" s="20">
        <v>3768.25</v>
      </c>
      <c r="H227" s="23">
        <f t="shared" si="21"/>
        <v>3.3234156501041223E-2</v>
      </c>
      <c r="I227" s="23">
        <f t="shared" si="22"/>
        <v>-1.1509698527693346E-2</v>
      </c>
      <c r="J227" s="23">
        <f t="shared" si="23"/>
        <v>-4.6593578700078186E-2</v>
      </c>
      <c r="K227" s="23">
        <f>E226/100/Inputs!$B$17-'Valuation and Bond'!$B$44*(E227-E226)/100+0.5*'Valuation and Bond'!$B$45*((E227-E226)/100)^2</f>
        <v>-2.9770077219150658E-3</v>
      </c>
      <c r="L227" s="23">
        <f t="shared" si="24"/>
        <v>-1.4754175512722623E-2</v>
      </c>
      <c r="M227" s="23">
        <f t="shared" si="25"/>
        <v>-1.5715409133410244E-2</v>
      </c>
      <c r="N227" s="23">
        <f>SUMPRODUCT(H227:K227,Portfolio!$B$23:$E$23)</f>
        <v>-6.9615321121613439E-3</v>
      </c>
      <c r="O227" s="23">
        <f>SUMPRODUCT(H227:K227,Portfolio!$B$24:$E$24)</f>
        <v>-1.4212049506564895E-2</v>
      </c>
      <c r="Q227" s="21">
        <f t="shared" si="26"/>
        <v>158.65855178442683</v>
      </c>
      <c r="R227" s="21">
        <f t="shared" si="27"/>
        <v>175.98776387072667</v>
      </c>
      <c r="S227" s="22">
        <f>Q227/MAX(Q$6:Q227)-1</f>
        <v>-3.4192521795398778E-2</v>
      </c>
      <c r="T227" s="22">
        <f>R227/MAX(R$6:R227)-1</f>
        <v>-1.4754175512722512E-2</v>
      </c>
    </row>
    <row r="228" spans="1:20" x14ac:dyDescent="0.2">
      <c r="A228" s="18">
        <v>44218</v>
      </c>
      <c r="B228" s="19">
        <v>339.88</v>
      </c>
      <c r="C228" s="19">
        <v>172.81</v>
      </c>
      <c r="D228" s="19">
        <v>48.49</v>
      </c>
      <c r="E228" s="19">
        <v>0.45</v>
      </c>
      <c r="F228" s="20">
        <v>3841.47</v>
      </c>
      <c r="H228" s="23">
        <f t="shared" si="21"/>
        <v>-2.1280271834595577E-2</v>
      </c>
      <c r="I228" s="23">
        <f t="shared" si="22"/>
        <v>2.1396063597139303E-2</v>
      </c>
      <c r="J228" s="23">
        <f t="shared" si="23"/>
        <v>-4.3121149897330513E-3</v>
      </c>
      <c r="K228" s="23">
        <f>E227/100/Inputs!$B$17-'Valuation and Bond'!$B$44*(E228-E227)/100+0.5*'Valuation and Bond'!$B$45*((E228-E227)/100)^2</f>
        <v>1.8465066892281788E-3</v>
      </c>
      <c r="L228" s="23">
        <f t="shared" si="24"/>
        <v>1.9430770251442908E-2</v>
      </c>
      <c r="M228" s="23">
        <f t="shared" si="25"/>
        <v>3.1550274977827876E-3</v>
      </c>
      <c r="N228" s="23">
        <f>SUMPRODUCT(H228:K228,Portfolio!$B$23:$E$23)</f>
        <v>-5.8745413449028648E-4</v>
      </c>
      <c r="O228" s="23">
        <f>SUMPRODUCT(H228:K228,Portfolio!$B$24:$E$24)</f>
        <v>-6.3209889054943941E-4</v>
      </c>
      <c r="Q228" s="21">
        <f t="shared" si="26"/>
        <v>159.15912387806509</v>
      </c>
      <c r="R228" s="21">
        <f t="shared" si="27"/>
        <v>179.40734167756395</v>
      </c>
      <c r="S228" s="22">
        <f>Q228/MAX(Q$6:Q228)-1</f>
        <v>-3.1145372644099112E-2</v>
      </c>
      <c r="T228" s="22">
        <f>R228/MAX(R$6:R228)-1</f>
        <v>0</v>
      </c>
    </row>
    <row r="229" spans="1:20" x14ac:dyDescent="0.2">
      <c r="A229" s="18">
        <v>44225</v>
      </c>
      <c r="B229" s="19">
        <v>321.82</v>
      </c>
      <c r="C229" s="19">
        <v>165.69</v>
      </c>
      <c r="D229" s="19">
        <v>48.15</v>
      </c>
      <c r="E229" s="19">
        <v>0.42</v>
      </c>
      <c r="F229" s="20">
        <v>3714.24</v>
      </c>
      <c r="H229" s="23">
        <f t="shared" si="21"/>
        <v>-5.3136401082735096E-2</v>
      </c>
      <c r="I229" s="23">
        <f t="shared" si="22"/>
        <v>-4.1201319368092126E-2</v>
      </c>
      <c r="J229" s="23">
        <f t="shared" si="23"/>
        <v>-7.0117550010312391E-3</v>
      </c>
      <c r="K229" s="23">
        <f>E228/100/Inputs!$B$17-'Valuation and Bond'!$B$44*(E229-E228)/100+0.5*'Valuation and Bond'!$B$45*((E229-E228)/100)^2</f>
        <v>1.4004062103425785E-3</v>
      </c>
      <c r="L229" s="23">
        <f t="shared" si="24"/>
        <v>-3.3120133698818388E-2</v>
      </c>
      <c r="M229" s="23">
        <f t="shared" si="25"/>
        <v>-2.2723394605712328E-2</v>
      </c>
      <c r="N229" s="23">
        <f>SUMPRODUCT(H229:K229,Portfolio!$B$23:$E$23)</f>
        <v>-2.498726731037897E-2</v>
      </c>
      <c r="O229" s="23">
        <f>SUMPRODUCT(H229:K229,Portfolio!$B$24:$E$24)</f>
        <v>-1.4119055718612199E-2</v>
      </c>
      <c r="Q229" s="21">
        <f t="shared" si="26"/>
        <v>155.54248830108435</v>
      </c>
      <c r="R229" s="21">
        <f t="shared" si="27"/>
        <v>173.46534653465343</v>
      </c>
      <c r="S229" s="22">
        <f>Q229/MAX(Q$6:Q229)-1</f>
        <v>-5.3161038657077664E-2</v>
      </c>
      <c r="T229" s="22">
        <f>R229/MAX(R$6:R229)-1</f>
        <v>-3.3120133698818388E-2</v>
      </c>
    </row>
    <row r="230" spans="1:20" x14ac:dyDescent="0.2">
      <c r="A230" s="18">
        <v>44232</v>
      </c>
      <c r="B230" s="19">
        <v>337.04</v>
      </c>
      <c r="C230" s="19">
        <v>169.93</v>
      </c>
      <c r="D230" s="19">
        <v>49.65</v>
      </c>
      <c r="E230" s="19">
        <v>0.45</v>
      </c>
      <c r="F230" s="20">
        <v>3886.83</v>
      </c>
      <c r="H230" s="23">
        <f t="shared" si="21"/>
        <v>4.7293518115717026E-2</v>
      </c>
      <c r="I230" s="23">
        <f t="shared" si="22"/>
        <v>2.5589957148892672E-2</v>
      </c>
      <c r="J230" s="23">
        <f t="shared" si="23"/>
        <v>3.1152647975077885E-2</v>
      </c>
      <c r="K230" s="23">
        <f>E229/100/Inputs!$B$17-'Valuation and Bond'!$B$44*(E230-E229)/100+0.5*'Valuation and Bond'!$B$45*((E230-E229)/100)^2</f>
        <v>-1.2310633708712355E-3</v>
      </c>
      <c r="L230" s="23">
        <f t="shared" si="24"/>
        <v>4.6467110364435404E-2</v>
      </c>
      <c r="M230" s="23">
        <f t="shared" si="25"/>
        <v>2.4978883026881629E-2</v>
      </c>
      <c r="N230" s="23">
        <f>SUMPRODUCT(H230:K230,Portfolio!$B$23:$E$23)</f>
        <v>2.5701264967204086E-2</v>
      </c>
      <c r="O230" s="23">
        <f>SUMPRODUCT(H230:K230,Portfolio!$B$24:$E$24)</f>
        <v>1.95432213324397E-2</v>
      </c>
      <c r="Q230" s="21">
        <f t="shared" si="26"/>
        <v>159.42776592206724</v>
      </c>
      <c r="R230" s="21">
        <f t="shared" si="27"/>
        <v>181.52577993648421</v>
      </c>
      <c r="S230" s="22">
        <f>Q230/MAX(Q$6:Q230)-1</f>
        <v>-2.9510058996398691E-2</v>
      </c>
      <c r="T230" s="22">
        <f>R230/MAX(R$6:R230)-1</f>
        <v>0</v>
      </c>
    </row>
    <row r="231" spans="1:20" x14ac:dyDescent="0.2">
      <c r="A231" s="18">
        <v>44239</v>
      </c>
      <c r="B231" s="19">
        <v>337.73</v>
      </c>
      <c r="C231" s="19">
        <v>179.64</v>
      </c>
      <c r="D231" s="19">
        <v>50.69</v>
      </c>
      <c r="E231" s="19">
        <v>0.48</v>
      </c>
      <c r="F231" s="20">
        <v>3934.83</v>
      </c>
      <c r="H231" s="23">
        <f t="shared" si="21"/>
        <v>2.04723474958457E-3</v>
      </c>
      <c r="I231" s="23">
        <f t="shared" si="22"/>
        <v>5.714117577826161E-2</v>
      </c>
      <c r="J231" s="23">
        <f t="shared" si="23"/>
        <v>2.0946626384692912E-2</v>
      </c>
      <c r="K231" s="23">
        <f>E230/100/Inputs!$B$17-'Valuation and Bond'!$B$44*(E231-E230)/100+0.5*'Valuation and Bond'!$B$45*((E231-E230)/100)^2</f>
        <v>-1.2252941401020025E-3</v>
      </c>
      <c r="L231" s="23">
        <f t="shared" si="24"/>
        <v>1.2349395265550678E-2</v>
      </c>
      <c r="M231" s="23">
        <f t="shared" si="25"/>
        <v>2.5952274187959742E-2</v>
      </c>
      <c r="N231" s="23">
        <f>SUMPRODUCT(H231:K231,Portfolio!$B$23:$E$23)</f>
        <v>1.9727435693109273E-2</v>
      </c>
      <c r="O231" s="23">
        <f>SUMPRODUCT(H231:K231,Portfolio!$B$24:$E$24)</f>
        <v>1.4433884932717975E-2</v>
      </c>
      <c r="Q231" s="21">
        <f t="shared" si="26"/>
        <v>163.56527901645057</v>
      </c>
      <c r="R231" s="21">
        <f t="shared" si="27"/>
        <v>183.76751354380721</v>
      </c>
      <c r="S231" s="22">
        <f>Q231/MAX(Q$6:Q231)-1</f>
        <v>-4.3236379508164724E-3</v>
      </c>
      <c r="T231" s="22">
        <f>R231/MAX(R$6:R231)-1</f>
        <v>0</v>
      </c>
    </row>
    <row r="232" spans="1:20" x14ac:dyDescent="0.2">
      <c r="A232" s="18">
        <v>44246</v>
      </c>
      <c r="B232" s="19">
        <v>335.42</v>
      </c>
      <c r="C232" s="19">
        <v>178.35</v>
      </c>
      <c r="D232" s="19">
        <v>50.11</v>
      </c>
      <c r="E232" s="19">
        <v>0.56999999999999995</v>
      </c>
      <c r="F232" s="20">
        <v>3906.71</v>
      </c>
      <c r="H232" s="23">
        <f t="shared" si="21"/>
        <v>-6.8397832588161789E-3</v>
      </c>
      <c r="I232" s="23">
        <f t="shared" si="22"/>
        <v>-7.1810287241148574E-3</v>
      </c>
      <c r="J232" s="23">
        <f t="shared" si="23"/>
        <v>-1.1442099033339925E-2</v>
      </c>
      <c r="K232" s="23">
        <f>E231/100/Inputs!$B$17-'Valuation and Bond'!$B$44*(E232-E231)/100+0.5*'Valuation and Bond'!$B$45*((E232-E231)/100)^2</f>
        <v>-3.8370846711227508E-3</v>
      </c>
      <c r="L232" s="23">
        <f t="shared" si="24"/>
        <v>-7.1464332639529227E-3</v>
      </c>
      <c r="M232" s="23">
        <f t="shared" si="25"/>
        <v>-7.9051361187278211E-3</v>
      </c>
      <c r="N232" s="23">
        <f>SUMPRODUCT(H232:K232,Portfolio!$B$23:$E$23)</f>
        <v>-7.3249989218484284E-3</v>
      </c>
      <c r="O232" s="23">
        <f>SUMPRODUCT(H232:K232,Portfolio!$B$24:$E$24)</f>
        <v>-7.2426890761755451E-3</v>
      </c>
      <c r="Q232" s="21">
        <f t="shared" si="26"/>
        <v>162.27227322152785</v>
      </c>
      <c r="R232" s="21">
        <f t="shared" si="27"/>
        <v>182.45423127218382</v>
      </c>
      <c r="S232" s="22">
        <f>Q232/MAX(Q$6:Q232)-1</f>
        <v>-1.2194595123014906E-2</v>
      </c>
      <c r="T232" s="22">
        <f>R232/MAX(R$6:R232)-1</f>
        <v>-7.1464332639529227E-3</v>
      </c>
    </row>
    <row r="233" spans="1:20" x14ac:dyDescent="0.2">
      <c r="A233" s="18">
        <v>44253</v>
      </c>
      <c r="B233" s="19">
        <v>330.25</v>
      </c>
      <c r="C233" s="19">
        <v>172.27</v>
      </c>
      <c r="D233" s="19">
        <v>48.99</v>
      </c>
      <c r="E233" s="19">
        <v>0.68</v>
      </c>
      <c r="F233" s="20">
        <v>3811.15</v>
      </c>
      <c r="H233" s="23">
        <f t="shared" si="21"/>
        <v>-1.5413511418520098E-2</v>
      </c>
      <c r="I233" s="23">
        <f t="shared" si="22"/>
        <v>-3.4090271937202044E-2</v>
      </c>
      <c r="J233" s="23">
        <f t="shared" si="23"/>
        <v>-2.2350828178008375E-2</v>
      </c>
      <c r="K233" s="23">
        <f>E232/100/Inputs!$B$17-'Valuation and Bond'!$B$44*(E233-E232)/100+0.5*'Valuation and Bond'!$B$45*((E233-E232)/100)^2</f>
        <v>-4.690487879710702E-3</v>
      </c>
      <c r="L233" s="23">
        <f t="shared" si="24"/>
        <v>-2.4460479533930046E-2</v>
      </c>
      <c r="M233" s="23">
        <f t="shared" si="25"/>
        <v>-2.1773582088250552E-2</v>
      </c>
      <c r="N233" s="23">
        <f>SUMPRODUCT(H233:K233,Portfolio!$B$23:$E$23)</f>
        <v>-1.9136274853360304E-2</v>
      </c>
      <c r="O233" s="23">
        <f>SUMPRODUCT(H233:K233,Portfolio!$B$24:$E$24)</f>
        <v>-1.5946774282108507E-2</v>
      </c>
      <c r="Q233" s="21">
        <f t="shared" si="26"/>
        <v>158.7390245598919</v>
      </c>
      <c r="R233" s="21">
        <f t="shared" si="27"/>
        <v>177.99131328227162</v>
      </c>
      <c r="S233" s="22">
        <f>Q233/MAX(Q$6:Q233)-1</f>
        <v>-3.3702657193321439E-2</v>
      </c>
      <c r="T233" s="22">
        <f>R233/MAX(R$6:R233)-1</f>
        <v>-3.1432107613289517E-2</v>
      </c>
    </row>
    <row r="234" spans="1:20" x14ac:dyDescent="0.2">
      <c r="A234" s="18">
        <v>44260</v>
      </c>
      <c r="B234" s="19">
        <v>340.43</v>
      </c>
      <c r="C234" s="19">
        <v>167.94</v>
      </c>
      <c r="D234" s="19">
        <v>50.79</v>
      </c>
      <c r="E234" s="19">
        <v>0.73</v>
      </c>
      <c r="F234" s="20">
        <v>3841.94</v>
      </c>
      <c r="H234" s="23">
        <f t="shared" si="21"/>
        <v>3.0825132475397421E-2</v>
      </c>
      <c r="I234" s="23">
        <f t="shared" si="22"/>
        <v>-2.5134962558774121E-2</v>
      </c>
      <c r="J234" s="23">
        <f t="shared" si="23"/>
        <v>3.6742192284139552E-2</v>
      </c>
      <c r="K234" s="23">
        <f>E233/100/Inputs!$B$17-'Valuation and Bond'!$B$44*(E234-E233)/100+0.5*'Valuation and Bond'!$B$45*((E234-E233)/100)^2</f>
        <v>-2.0544878013184025E-3</v>
      </c>
      <c r="L234" s="23">
        <f t="shared" si="24"/>
        <v>8.0789263083320684E-3</v>
      </c>
      <c r="M234" s="23">
        <f t="shared" si="25"/>
        <v>7.7793847442281195E-3</v>
      </c>
      <c r="N234" s="23">
        <f>SUMPRODUCT(H234:K234,Portfolio!$B$23:$E$23)</f>
        <v>1.0094468599861113E-2</v>
      </c>
      <c r="O234" s="23">
        <f>SUMPRODUCT(H234:K234,Portfolio!$B$24:$E$24)</f>
        <v>1.2268275939407739E-2</v>
      </c>
      <c r="Q234" s="21">
        <f t="shared" si="26"/>
        <v>159.97391650586675</v>
      </c>
      <c r="R234" s="21">
        <f t="shared" si="27"/>
        <v>179.42929198580234</v>
      </c>
      <c r="S234" s="22">
        <f>Q234/MAX(Q$6:Q234)-1</f>
        <v>-2.6185458386303151E-2</v>
      </c>
      <c r="T234" s="22">
        <f>R234/MAX(R$6:R234)-1</f>
        <v>-2.3607118986080811E-2</v>
      </c>
    </row>
    <row r="235" spans="1:20" x14ac:dyDescent="0.2">
      <c r="A235" s="18">
        <v>44267</v>
      </c>
      <c r="B235" s="19">
        <v>340.19</v>
      </c>
      <c r="C235" s="19">
        <v>173.57</v>
      </c>
      <c r="D235" s="19">
        <v>50.36</v>
      </c>
      <c r="E235" s="19">
        <v>0.82</v>
      </c>
      <c r="F235" s="20">
        <v>3943.34</v>
      </c>
      <c r="H235" s="23">
        <f t="shared" si="21"/>
        <v>-7.0499074699648112E-4</v>
      </c>
      <c r="I235" s="23">
        <f t="shared" si="22"/>
        <v>3.3523877575324601E-2</v>
      </c>
      <c r="J235" s="23">
        <f t="shared" si="23"/>
        <v>-8.4662335105335496E-3</v>
      </c>
      <c r="K235" s="23">
        <f>E234/100/Inputs!$B$17-'Valuation and Bond'!$B$44*(E235-E234)/100+0.5*'Valuation and Bond'!$B$45*((E235-E234)/100)^2</f>
        <v>-3.7890077480458276E-3</v>
      </c>
      <c r="L235" s="23">
        <f t="shared" si="24"/>
        <v>2.6392916078856077E-2</v>
      </c>
      <c r="M235" s="23">
        <f t="shared" si="25"/>
        <v>7.3543129664658457E-3</v>
      </c>
      <c r="N235" s="23">
        <f>SUMPRODUCT(H235:K235,Portfolio!$B$23:$E$23)</f>
        <v>5.1409113924371858E-3</v>
      </c>
      <c r="O235" s="23">
        <f>SUMPRODUCT(H235:K235,Portfolio!$B$24:$E$24)</f>
        <v>-3.5428305550913889E-5</v>
      </c>
      <c r="Q235" s="21">
        <f t="shared" si="26"/>
        <v>161.15041475432218</v>
      </c>
      <c r="R235" s="21">
        <f t="shared" si="27"/>
        <v>184.16495423127219</v>
      </c>
      <c r="S235" s="22">
        <f>Q235/MAX(Q$6:Q235)-1</f>
        <v>-1.9023721475980526E-2</v>
      </c>
      <c r="T235" s="22">
        <f>R235/MAX(R$6:R235)-1</f>
        <v>0</v>
      </c>
    </row>
    <row r="236" spans="1:20" x14ac:dyDescent="0.2">
      <c r="A236" s="18">
        <v>44274</v>
      </c>
      <c r="B236" s="19">
        <v>355.07</v>
      </c>
      <c r="C236" s="19">
        <v>175.98</v>
      </c>
      <c r="D236" s="19">
        <v>50.81</v>
      </c>
      <c r="E236" s="19">
        <v>0.85</v>
      </c>
      <c r="F236" s="20">
        <v>3913.1</v>
      </c>
      <c r="H236" s="23">
        <f t="shared" si="21"/>
        <v>4.3740262794320861E-2</v>
      </c>
      <c r="I236" s="23">
        <f t="shared" si="22"/>
        <v>1.3884887941464585E-2</v>
      </c>
      <c r="J236" s="23">
        <f t="shared" si="23"/>
        <v>8.9356632247816759E-3</v>
      </c>
      <c r="K236" s="23">
        <f>E235/100/Inputs!$B$17-'Valuation and Bond'!$B$44*(E236-E235)/100+0.5*'Valuation and Bond'!$B$45*((E236-E235)/100)^2</f>
        <v>-1.1541402939481587E-3</v>
      </c>
      <c r="L236" s="23">
        <f t="shared" si="24"/>
        <v>-7.6686260885442392E-3</v>
      </c>
      <c r="M236" s="23">
        <f t="shared" si="25"/>
        <v>1.3162556120505011E-2</v>
      </c>
      <c r="N236" s="23">
        <f>SUMPRODUCT(H236:K236,Portfolio!$B$23:$E$23)</f>
        <v>1.6351668416654742E-2</v>
      </c>
      <c r="O236" s="23">
        <f>SUMPRODUCT(H236:K236,Portfolio!$B$24:$E$24)</f>
        <v>1.0041332054292159E-2</v>
      </c>
      <c r="Q236" s="21">
        <f t="shared" si="26"/>
        <v>163.27156613236863</v>
      </c>
      <c r="R236" s="21">
        <f t="shared" si="27"/>
        <v>182.7526620586587</v>
      </c>
      <c r="S236" s="22">
        <f>Q236/MAX(Q$6:Q236)-1</f>
        <v>-6.1115661570237956E-3</v>
      </c>
      <c r="T236" s="22">
        <f>R236/MAX(R$6:R236)-1</f>
        <v>-7.6686260885442392E-3</v>
      </c>
    </row>
    <row r="237" spans="1:20" x14ac:dyDescent="0.2">
      <c r="A237" s="18">
        <v>44281</v>
      </c>
      <c r="B237" s="19">
        <v>364.71</v>
      </c>
      <c r="C237" s="19">
        <v>188.2</v>
      </c>
      <c r="D237" s="19">
        <v>53.04</v>
      </c>
      <c r="E237" s="19">
        <v>0.84</v>
      </c>
      <c r="F237" s="20">
        <v>3974.54</v>
      </c>
      <c r="H237" s="23">
        <f t="shared" si="21"/>
        <v>2.7149576139916087E-2</v>
      </c>
      <c r="I237" s="23">
        <f t="shared" si="22"/>
        <v>6.9439709057847576E-2</v>
      </c>
      <c r="J237" s="23">
        <f t="shared" si="23"/>
        <v>4.3888998228694964E-2</v>
      </c>
      <c r="K237" s="23">
        <f>E236/100/Inputs!$B$17-'Valuation and Bond'!$B$44*(E237-E236)/100+0.5*'Valuation and Bond'!$B$45*((E237-E236)/100)^2</f>
        <v>6.0119132726694959E-4</v>
      </c>
      <c r="L237" s="23">
        <f t="shared" si="24"/>
        <v>1.570110653957224E-2</v>
      </c>
      <c r="M237" s="23">
        <f t="shared" si="25"/>
        <v>4.1445197995266525E-2</v>
      </c>
      <c r="N237" s="23">
        <f>SUMPRODUCT(H237:K237,Portfolio!$B$23:$E$23)</f>
        <v>3.5269868688431391E-2</v>
      </c>
      <c r="O237" s="23">
        <f>SUMPRODUCT(H237:K237,Portfolio!$B$24:$E$24)</f>
        <v>2.7799078074659967E-2</v>
      </c>
      <c r="Q237" s="21">
        <f t="shared" si="26"/>
        <v>170.03838851772193</v>
      </c>
      <c r="R237" s="21">
        <f t="shared" si="27"/>
        <v>185.62208107603215</v>
      </c>
      <c r="S237" s="22">
        <f>Q237/MAX(Q$6:Q237)-1</f>
        <v>0</v>
      </c>
      <c r="T237" s="22">
        <f>R237/MAX(R$6:R237)-1</f>
        <v>0</v>
      </c>
    </row>
    <row r="238" spans="1:20" x14ac:dyDescent="0.2">
      <c r="A238" s="18">
        <v>44288</v>
      </c>
      <c r="B238" s="19">
        <v>371.02</v>
      </c>
      <c r="C238" s="19">
        <v>192.06</v>
      </c>
      <c r="D238" s="19">
        <v>52.51</v>
      </c>
      <c r="E238" s="19">
        <v>0.92</v>
      </c>
      <c r="F238" s="20">
        <v>4019.87</v>
      </c>
      <c r="H238" s="23">
        <f t="shared" si="21"/>
        <v>1.7301417564640431E-2</v>
      </c>
      <c r="I238" s="23">
        <f t="shared" si="22"/>
        <v>2.0510095642933157E-2</v>
      </c>
      <c r="J238" s="23">
        <f t="shared" si="23"/>
        <v>-9.9924585218703621E-3</v>
      </c>
      <c r="K238" s="23">
        <f>E237/100/Inputs!$B$17-'Valuation and Bond'!$B$44*(E238-E237)/100+0.5*'Valuation and Bond'!$B$45*((E238-E237)/100)^2</f>
        <v>-3.3321592602502254E-3</v>
      </c>
      <c r="L238" s="23">
        <f t="shared" si="24"/>
        <v>1.140509341961593E-2</v>
      </c>
      <c r="M238" s="23">
        <f t="shared" si="25"/>
        <v>5.0218827863015066E-3</v>
      </c>
      <c r="N238" s="23">
        <f>SUMPRODUCT(H238:K238,Portfolio!$B$23:$E$23)</f>
        <v>6.1217238563632502E-3</v>
      </c>
      <c r="O238" s="23">
        <f>SUMPRODUCT(H238:K238,Portfolio!$B$24:$E$24)</f>
        <v>2.2837998174891883E-4</v>
      </c>
      <c r="Q238" s="21">
        <f t="shared" si="26"/>
        <v>170.89230137402953</v>
      </c>
      <c r="R238" s="21">
        <f t="shared" si="27"/>
        <v>187.73911825144782</v>
      </c>
      <c r="S238" s="22">
        <f>Q238/MAX(Q$6:Q238)-1</f>
        <v>0</v>
      </c>
      <c r="T238" s="22">
        <f>R238/MAX(R$6:R238)-1</f>
        <v>0</v>
      </c>
    </row>
    <row r="239" spans="1:20" x14ac:dyDescent="0.2">
      <c r="A239" s="18">
        <v>44295</v>
      </c>
      <c r="B239" s="19">
        <v>386.23</v>
      </c>
      <c r="C239" s="19">
        <v>195.43</v>
      </c>
      <c r="D239" s="19">
        <v>53.18</v>
      </c>
      <c r="E239" s="19">
        <v>0.88</v>
      </c>
      <c r="F239" s="20">
        <v>4128.8</v>
      </c>
      <c r="H239" s="23">
        <f t="shared" si="21"/>
        <v>4.0995094604064475E-2</v>
      </c>
      <c r="I239" s="23">
        <f t="shared" si="22"/>
        <v>1.7546600020826864E-2</v>
      </c>
      <c r="J239" s="23">
        <f t="shared" si="23"/>
        <v>1.2759474385831249E-2</v>
      </c>
      <c r="K239" s="23">
        <f>E238/100/Inputs!$B$17-'Valuation and Bond'!$B$44*(E239-E238)/100+0.5*'Valuation and Bond'!$B$45*((E239-E238)/100)^2</f>
        <v>1.9291989969204887E-3</v>
      </c>
      <c r="L239" s="23">
        <f t="shared" si="24"/>
        <v>2.7097891225338122E-2</v>
      </c>
      <c r="M239" s="23">
        <f t="shared" si="25"/>
        <v>1.5914390446513556E-2</v>
      </c>
      <c r="N239" s="23">
        <f>SUMPRODUCT(H239:K239,Portfolio!$B$23:$E$23)</f>
        <v>1.8307592001910768E-2</v>
      </c>
      <c r="O239" s="23">
        <f>SUMPRODUCT(H239:K239,Portfolio!$B$24:$E$24)</f>
        <v>1.2700751110470625E-2</v>
      </c>
      <c r="Q239" s="21">
        <f t="shared" si="26"/>
        <v>173.61194818239909</v>
      </c>
      <c r="R239" s="21">
        <f t="shared" si="27"/>
        <v>192.82645245656644</v>
      </c>
      <c r="S239" s="22">
        <f>Q239/MAX(Q$6:Q239)-1</f>
        <v>0</v>
      </c>
      <c r="T239" s="22">
        <f>R239/MAX(R$6:R239)-1</f>
        <v>0</v>
      </c>
    </row>
    <row r="240" spans="1:20" x14ac:dyDescent="0.2">
      <c r="A240" s="18">
        <v>44302</v>
      </c>
      <c r="B240" s="19">
        <v>391.81</v>
      </c>
      <c r="C240" s="19">
        <v>191.93</v>
      </c>
      <c r="D240" s="19">
        <v>53.68</v>
      </c>
      <c r="E240" s="19">
        <v>0.85</v>
      </c>
      <c r="F240" s="20">
        <v>4185.47</v>
      </c>
      <c r="H240" s="23">
        <f t="shared" si="21"/>
        <v>1.4447350024596739E-2</v>
      </c>
      <c r="I240" s="23">
        <f t="shared" si="22"/>
        <v>-1.7909225809752849E-2</v>
      </c>
      <c r="J240" s="23">
        <f t="shared" si="23"/>
        <v>9.4020308386610907E-3</v>
      </c>
      <c r="K240" s="23">
        <f>E239/100/Inputs!$B$17-'Valuation and Bond'!$B$44*(E240-E239)/100+0.5*'Valuation and Bond'!$B$45*((E240-E239)/100)^2</f>
        <v>1.4830985180348862E-3</v>
      </c>
      <c r="L240" s="23">
        <f t="shared" si="24"/>
        <v>1.3725537686494871E-2</v>
      </c>
      <c r="M240" s="23">
        <f t="shared" si="25"/>
        <v>-5.2596552730427705E-4</v>
      </c>
      <c r="N240" s="23">
        <f>SUMPRODUCT(H240:K240,Portfolio!$B$23:$E$23)</f>
        <v>1.8558133928849667E-3</v>
      </c>
      <c r="O240" s="23">
        <f>SUMPRODUCT(H240:K240,Portfolio!$B$24:$E$24)</f>
        <v>3.2687891732277089E-3</v>
      </c>
      <c r="Q240" s="21">
        <f t="shared" si="26"/>
        <v>173.520634282527</v>
      </c>
      <c r="R240" s="21">
        <f t="shared" si="27"/>
        <v>195.47309919671216</v>
      </c>
      <c r="S240" s="22">
        <f>Q240/MAX(Q$6:Q240)-1</f>
        <v>-5.2596552730432844E-4</v>
      </c>
      <c r="T240" s="22">
        <f>R240/MAX(R$6:R240)-1</f>
        <v>0</v>
      </c>
    </row>
    <row r="241" spans="1:20" x14ac:dyDescent="0.2">
      <c r="A241" s="18">
        <v>44309</v>
      </c>
      <c r="B241" s="19">
        <v>377.29</v>
      </c>
      <c r="C241" s="19">
        <v>188.82</v>
      </c>
      <c r="D241" s="19">
        <v>54.47</v>
      </c>
      <c r="E241" s="19">
        <v>0.82</v>
      </c>
      <c r="F241" s="20">
        <v>4180.17</v>
      </c>
      <c r="H241" s="23">
        <f t="shared" si="21"/>
        <v>-3.7058778489573951E-2</v>
      </c>
      <c r="I241" s="23">
        <f t="shared" si="22"/>
        <v>-1.6203824310946802E-2</v>
      </c>
      <c r="J241" s="23">
        <f t="shared" si="23"/>
        <v>1.4716840536512565E-2</v>
      </c>
      <c r="K241" s="23">
        <f>E240/100/Inputs!$B$17-'Valuation and Bond'!$B$44*(E241-E240)/100+0.5*'Valuation and Bond'!$B$45*((E241-E240)/100)^2</f>
        <v>1.4773292872656556E-3</v>
      </c>
      <c r="L241" s="23">
        <f t="shared" si="24"/>
        <v>-1.266285506765108E-3</v>
      </c>
      <c r="M241" s="23">
        <f t="shared" si="25"/>
        <v>-4.9951506339548715E-3</v>
      </c>
      <c r="N241" s="23">
        <f>SUMPRODUCT(H241:K241,Portfolio!$B$23:$E$23)</f>
        <v>-9.2671082441856331E-3</v>
      </c>
      <c r="O241" s="23">
        <f>SUMPRODUCT(H241:K241,Portfolio!$B$24:$E$24)</f>
        <v>-1.3467372814523696E-3</v>
      </c>
      <c r="Q241" s="21">
        <f t="shared" si="26"/>
        <v>172.65387257618639</v>
      </c>
      <c r="R241" s="21">
        <f t="shared" si="27"/>
        <v>195.22557444423691</v>
      </c>
      <c r="S241" s="22">
        <f>Q241/MAX(Q$6:Q241)-1</f>
        <v>-5.518488884222017E-3</v>
      </c>
      <c r="T241" s="22">
        <f>R241/MAX(R$6:R241)-1</f>
        <v>-1.266285506764997E-3</v>
      </c>
    </row>
    <row r="242" spans="1:20" x14ac:dyDescent="0.2">
      <c r="A242" s="18">
        <v>44316</v>
      </c>
      <c r="B242" s="19">
        <v>380.56</v>
      </c>
      <c r="C242" s="19">
        <v>180.51</v>
      </c>
      <c r="D242" s="19">
        <v>53.98</v>
      </c>
      <c r="E242" s="19">
        <v>0.86</v>
      </c>
      <c r="F242" s="20">
        <v>4181.17</v>
      </c>
      <c r="H242" s="23">
        <f t="shared" si="21"/>
        <v>8.6670730737627988E-3</v>
      </c>
      <c r="I242" s="23">
        <f t="shared" si="22"/>
        <v>-4.4010168414362894E-2</v>
      </c>
      <c r="J242" s="23">
        <f t="shared" si="23"/>
        <v>-8.9957774921975986E-3</v>
      </c>
      <c r="K242" s="23">
        <f>E241/100/Inputs!$B$17-'Valuation and Bond'!$B$44*(E242-E241)/100+0.5*'Valuation and Bond'!$B$45*((E242-E241)/100)^2</f>
        <v>-1.5909655729030587E-3</v>
      </c>
      <c r="L242" s="23">
        <f t="shared" si="24"/>
        <v>2.3922472052562149E-4</v>
      </c>
      <c r="M242" s="23">
        <f t="shared" si="25"/>
        <v>-1.6729236412663485E-2</v>
      </c>
      <c r="N242" s="23">
        <f>SUMPRODUCT(H242:K242,Portfolio!$B$23:$E$23)</f>
        <v>-1.1482459601425188E-2</v>
      </c>
      <c r="O242" s="23">
        <f>SUMPRODUCT(H242:K242,Portfolio!$B$24:$E$24)</f>
        <v>-8.393016644622173E-3</v>
      </c>
      <c r="Q242" s="21">
        <f t="shared" si="26"/>
        <v>169.7655051242975</v>
      </c>
      <c r="R242" s="21">
        <f t="shared" si="27"/>
        <v>195.27227722772278</v>
      </c>
      <c r="S242" s="22">
        <f>Q242/MAX(Q$6:Q242)-1</f>
        <v>-2.2155405191700672E-2</v>
      </c>
      <c r="T242" s="22">
        <f>R242/MAX(R$6:R242)-1</f>
        <v>-1.0273637130359115E-3</v>
      </c>
    </row>
    <row r="243" spans="1:20" x14ac:dyDescent="0.2">
      <c r="A243" s="18">
        <v>44323</v>
      </c>
      <c r="B243" s="19">
        <v>390.34</v>
      </c>
      <c r="C243" s="19">
        <v>187.76</v>
      </c>
      <c r="D243" s="19">
        <v>54.51</v>
      </c>
      <c r="E243" s="19">
        <v>0.81</v>
      </c>
      <c r="F243" s="20">
        <v>4232.6000000000004</v>
      </c>
      <c r="H243" s="23">
        <f t="shared" si="21"/>
        <v>2.5698969939037086E-2</v>
      </c>
      <c r="I243" s="23">
        <f t="shared" si="22"/>
        <v>4.0163979834912267E-2</v>
      </c>
      <c r="J243" s="23">
        <f t="shared" si="23"/>
        <v>9.8184512782513167E-3</v>
      </c>
      <c r="K243" s="23">
        <f>E242/100/Inputs!$B$17-'Valuation and Bond'!$B$44*(E243-E242)/100+0.5*'Valuation and Bond'!$B$45*((E243-E242)/100)^2</f>
        <v>2.3562948340379451E-3</v>
      </c>
      <c r="L243" s="23">
        <f t="shared" si="24"/>
        <v>1.2300384820516763E-2</v>
      </c>
      <c r="M243" s="23">
        <f t="shared" si="25"/>
        <v>2.0444213135660871E-2</v>
      </c>
      <c r="N243" s="23">
        <f>SUMPRODUCT(H243:K243,Portfolio!$B$23:$E$23)</f>
        <v>1.9509423971559654E-2</v>
      </c>
      <c r="O243" s="23">
        <f>SUMPRODUCT(H243:K243,Portfolio!$B$24:$E$24)</f>
        <v>1.2898335536843164E-2</v>
      </c>
      <c r="Q243" s="21">
        <f t="shared" si="26"/>
        <v>173.23622729414177</v>
      </c>
      <c r="R243" s="21">
        <f t="shared" si="27"/>
        <v>197.6742013824024</v>
      </c>
      <c r="S243" s="22">
        <f>Q243/MAX(Q$6:Q243)-1</f>
        <v>-2.1641418818858504E-3</v>
      </c>
      <c r="T243" s="22">
        <f>R243/MAX(R$6:R243)-1</f>
        <v>0</v>
      </c>
    </row>
    <row r="244" spans="1:20" x14ac:dyDescent="0.2">
      <c r="A244" s="18">
        <v>44330</v>
      </c>
      <c r="B244" s="19">
        <v>390.78</v>
      </c>
      <c r="C244" s="19">
        <v>183.27</v>
      </c>
      <c r="D244" s="19">
        <v>54.73</v>
      </c>
      <c r="E244" s="19">
        <v>0.83</v>
      </c>
      <c r="F244" s="20">
        <v>4173.8500000000004</v>
      </c>
      <c r="H244" s="23">
        <f t="shared" si="21"/>
        <v>1.1272224214786686E-3</v>
      </c>
      <c r="I244" s="23">
        <f t="shared" si="22"/>
        <v>-2.3913506604175461E-2</v>
      </c>
      <c r="J244" s="23">
        <f t="shared" si="23"/>
        <v>4.0359567051917455E-3</v>
      </c>
      <c r="K244" s="23">
        <f>E243/100/Inputs!$B$17-'Valuation and Bond'!$B$44*(E244-E243)/100+0.5*'Valuation and Bond'!$B$45*((E244-E243)/100)^2</f>
        <v>-7.1901196445370318E-4</v>
      </c>
      <c r="L244" s="23">
        <f t="shared" si="24"/>
        <v>-1.388035722723624E-2</v>
      </c>
      <c r="M244" s="23">
        <f t="shared" si="25"/>
        <v>-6.5237672134205059E-3</v>
      </c>
      <c r="N244" s="23">
        <f>SUMPRODUCT(H244:K244,Portfolio!$B$23:$E$23)</f>
        <v>-4.8673348604896874E-3</v>
      </c>
      <c r="O244" s="23">
        <f>SUMPRODUCT(H244:K244,Portfolio!$B$24:$E$24)</f>
        <v>-1.9414755539972671E-3</v>
      </c>
      <c r="Q244" s="21">
        <f t="shared" si="26"/>
        <v>172.10607447434359</v>
      </c>
      <c r="R244" s="21">
        <f t="shared" si="27"/>
        <v>194.93041285260603</v>
      </c>
      <c r="S244" s="22">
        <f>Q244/MAX(Q$6:Q244)-1</f>
        <v>-8.6737907374521139E-3</v>
      </c>
      <c r="T244" s="22">
        <f>R244/MAX(R$6:R244)-1</f>
        <v>-1.388035722723624E-2</v>
      </c>
    </row>
    <row r="245" spans="1:20" x14ac:dyDescent="0.2">
      <c r="A245" s="18">
        <v>44337</v>
      </c>
      <c r="B245" s="19">
        <v>387.22</v>
      </c>
      <c r="C245" s="19">
        <v>185.01</v>
      </c>
      <c r="D245" s="19">
        <v>54.62</v>
      </c>
      <c r="E245" s="19">
        <v>0.84</v>
      </c>
      <c r="F245" s="20">
        <v>4155.8599999999997</v>
      </c>
      <c r="H245" s="23">
        <f t="shared" si="21"/>
        <v>-9.1099851578891888E-3</v>
      </c>
      <c r="I245" s="23">
        <f t="shared" si="22"/>
        <v>9.4941889016204595E-3</v>
      </c>
      <c r="J245" s="23">
        <f t="shared" si="23"/>
        <v>-2.0098666179426683E-3</v>
      </c>
      <c r="K245" s="23">
        <f>E244/100/Inputs!$B$17-'Valuation and Bond'!$B$44*(E245-E244)/100+0.5*'Valuation and Bond'!$B$45*((E245-E244)/100)^2</f>
        <v>-2.7788827672739871E-4</v>
      </c>
      <c r="L245" s="23">
        <f t="shared" si="24"/>
        <v>-4.3101692681818404E-3</v>
      </c>
      <c r="M245" s="23">
        <f t="shared" si="25"/>
        <v>1.1921016652133036E-3</v>
      </c>
      <c r="N245" s="23">
        <f>SUMPRODUCT(H245:K245,Portfolio!$B$23:$E$23)</f>
        <v>-4.7588778773469912E-4</v>
      </c>
      <c r="O245" s="23">
        <f>SUMPRODUCT(H245:K245,Portfolio!$B$24:$E$24)</f>
        <v>-7.0914361046550884E-4</v>
      </c>
      <c r="Q245" s="21">
        <f t="shared" si="26"/>
        <v>172.31124241231777</v>
      </c>
      <c r="R245" s="21">
        <f t="shared" si="27"/>
        <v>194.09022977769473</v>
      </c>
      <c r="S245" s="22">
        <f>Q245/MAX(Q$6:Q245)-1</f>
        <v>-7.4920291126207017E-3</v>
      </c>
      <c r="T245" s="22">
        <f>R245/MAX(R$6:R245)-1</f>
        <v>-1.8130699806265804E-2</v>
      </c>
    </row>
    <row r="246" spans="1:20" x14ac:dyDescent="0.2">
      <c r="A246" s="18">
        <v>44344</v>
      </c>
      <c r="B246" s="19">
        <v>382.2</v>
      </c>
      <c r="C246" s="19">
        <v>189.82</v>
      </c>
      <c r="D246" s="19">
        <v>55.29</v>
      </c>
      <c r="E246" s="19">
        <v>0.8</v>
      </c>
      <c r="F246" s="20">
        <v>4204.1099999999997</v>
      </c>
      <c r="H246" s="23">
        <f t="shared" si="21"/>
        <v>-1.2964206394297961E-2</v>
      </c>
      <c r="I246" s="23">
        <f t="shared" si="22"/>
        <v>2.5998594670558317E-2</v>
      </c>
      <c r="J246" s="23">
        <f t="shared" si="23"/>
        <v>1.2266569022336249E-2</v>
      </c>
      <c r="K246" s="23">
        <f>E245/100/Inputs!$B$17-'Valuation and Bond'!$B$44*(E246-E245)/100+0.5*'Valuation and Bond'!$B$45*((E246-E245)/100)^2</f>
        <v>1.9138143815358684E-3</v>
      </c>
      <c r="L246" s="23">
        <f t="shared" si="24"/>
        <v>1.1610111986448013E-2</v>
      </c>
      <c r="M246" s="23">
        <f t="shared" si="25"/>
        <v>1.1384508815385424E-2</v>
      </c>
      <c r="N246" s="23">
        <f>SUMPRODUCT(H246:K246,Portfolio!$B$23:$E$23)</f>
        <v>6.8036929200331183E-3</v>
      </c>
      <c r="O246" s="23">
        <f>SUMPRODUCT(H246:K246,Portfolio!$B$24:$E$24)</f>
        <v>6.6913404106365478E-3</v>
      </c>
      <c r="Q246" s="21">
        <f t="shared" si="26"/>
        <v>174.27292127055082</v>
      </c>
      <c r="R246" s="21">
        <f t="shared" si="27"/>
        <v>196.3436390808892</v>
      </c>
      <c r="S246" s="22">
        <f>Q246/MAX(Q$6:Q246)-1</f>
        <v>0</v>
      </c>
      <c r="T246" s="22">
        <f>R246/MAX(R$6:R246)-1</f>
        <v>-6.7310872749611894E-3</v>
      </c>
    </row>
    <row r="247" spans="1:20" x14ac:dyDescent="0.2">
      <c r="A247" s="18">
        <v>44351</v>
      </c>
      <c r="B247" s="19">
        <v>394.1</v>
      </c>
      <c r="C247" s="19">
        <v>190.07</v>
      </c>
      <c r="D247" s="19">
        <v>56.24</v>
      </c>
      <c r="E247" s="19">
        <v>0.81</v>
      </c>
      <c r="F247" s="20">
        <v>4229.8900000000003</v>
      </c>
      <c r="H247" s="23">
        <f t="shared" si="21"/>
        <v>3.1135531135531247E-2</v>
      </c>
      <c r="I247" s="23">
        <f t="shared" si="22"/>
        <v>1.3170371931303659E-3</v>
      </c>
      <c r="J247" s="23">
        <f t="shared" si="23"/>
        <v>1.7182130584192601E-2</v>
      </c>
      <c r="K247" s="23">
        <f>E246/100/Inputs!$B$17-'Valuation and Bond'!$B$44*(E247-E246)/100+0.5*'Valuation and Bond'!$B$45*((E247-E246)/100)^2</f>
        <v>-2.836575074966295E-4</v>
      </c>
      <c r="L247" s="23">
        <f t="shared" si="24"/>
        <v>6.1320945455758391E-3</v>
      </c>
      <c r="M247" s="23">
        <f t="shared" si="25"/>
        <v>1.0302317719856589E-2</v>
      </c>
      <c r="N247" s="23">
        <f>SUMPRODUCT(H247:K247,Portfolio!$B$23:$E$23)</f>
        <v>1.2337760351339397E-2</v>
      </c>
      <c r="O247" s="23">
        <f>SUMPRODUCT(H247:K247,Portfolio!$B$24:$E$24)</f>
        <v>9.8938703136078211E-3</v>
      </c>
      <c r="Q247" s="21">
        <f t="shared" si="26"/>
        <v>176.06833627544762</v>
      </c>
      <c r="R247" s="21">
        <f t="shared" si="27"/>
        <v>197.54763683915564</v>
      </c>
      <c r="S247" s="22">
        <f>Q247/MAX(Q$6:Q247)-1</f>
        <v>0</v>
      </c>
      <c r="T247" s="22">
        <f>R247/MAX(R$6:R247)-1</f>
        <v>-6.4026839294983873E-4</v>
      </c>
    </row>
    <row r="248" spans="1:20" x14ac:dyDescent="0.2">
      <c r="A248" s="18">
        <v>44358</v>
      </c>
      <c r="B248" s="19">
        <v>387.72</v>
      </c>
      <c r="C248" s="19">
        <v>188.67</v>
      </c>
      <c r="D248" s="19">
        <v>56.16</v>
      </c>
      <c r="E248" s="19">
        <v>0.76</v>
      </c>
      <c r="F248" s="20">
        <v>4247.4399999999996</v>
      </c>
      <c r="H248" s="23">
        <f t="shared" si="21"/>
        <v>-1.6188784572443549E-2</v>
      </c>
      <c r="I248" s="23">
        <f t="shared" si="22"/>
        <v>-7.3657073709686438E-3</v>
      </c>
      <c r="J248" s="23">
        <f t="shared" si="23"/>
        <v>-1.4224751066856944E-3</v>
      </c>
      <c r="K248" s="23">
        <f>E247/100/Inputs!$B$17-'Valuation and Bond'!$B$44*(E248-E247)/100+0.5*'Valuation and Bond'!$B$45*((E248-E247)/100)^2</f>
        <v>2.3466794494225651E-3</v>
      </c>
      <c r="L248" s="23">
        <f t="shared" si="24"/>
        <v>4.1490440649754046E-3</v>
      </c>
      <c r="M248" s="23">
        <f t="shared" si="25"/>
        <v>-4.5864468468903314E-3</v>
      </c>
      <c r="N248" s="23">
        <f>SUMPRODUCT(H248:K248,Portfolio!$B$23:$E$23)</f>
        <v>-5.6575719001688302E-3</v>
      </c>
      <c r="O248" s="23">
        <f>SUMPRODUCT(H248:K248,Portfolio!$B$24:$E$24)</f>
        <v>-2.6050745261696402E-3</v>
      </c>
      <c r="Q248" s="21">
        <f t="shared" si="26"/>
        <v>175.26080820969986</v>
      </c>
      <c r="R248" s="21">
        <f t="shared" si="27"/>
        <v>198.36727068933305</v>
      </c>
      <c r="S248" s="22">
        <f>Q248/MAX(Q$6:Q248)-1</f>
        <v>-4.5864468468903574E-3</v>
      </c>
      <c r="T248" s="22">
        <f>R248/MAX(R$6:R248)-1</f>
        <v>0</v>
      </c>
    </row>
    <row r="249" spans="1:20" x14ac:dyDescent="0.2">
      <c r="A249" s="18">
        <v>44365</v>
      </c>
      <c r="B249" s="19">
        <v>379.19</v>
      </c>
      <c r="C249" s="19">
        <v>183.07</v>
      </c>
      <c r="D249" s="19">
        <v>53.77</v>
      </c>
      <c r="E249" s="19">
        <v>0.85</v>
      </c>
      <c r="F249" s="20">
        <v>4166.45</v>
      </c>
      <c r="H249" s="23">
        <f t="shared" si="21"/>
        <v>-2.2000412668936375E-2</v>
      </c>
      <c r="I249" s="23">
        <f t="shared" si="22"/>
        <v>-2.9681454391265127E-2</v>
      </c>
      <c r="J249" s="23">
        <f t="shared" si="23"/>
        <v>-4.2556980056979943E-2</v>
      </c>
      <c r="K249" s="23">
        <f>E248/100/Inputs!$B$17-'Valuation and Bond'!$B$44*(E249-E248)/100+0.5*'Valuation and Bond'!$B$45*((E249-E248)/100)^2</f>
        <v>-3.783238517276597E-3</v>
      </c>
      <c r="L249" s="23">
        <f t="shared" si="24"/>
        <v>-1.9067956227751259E-2</v>
      </c>
      <c r="M249" s="23">
        <f t="shared" si="25"/>
        <v>-2.7829563100437615E-2</v>
      </c>
      <c r="N249" s="23">
        <f>SUMPRODUCT(H249:K249,Portfolio!$B$23:$E$23)</f>
        <v>-2.4505521408614509E-2</v>
      </c>
      <c r="O249" s="23">
        <f>SUMPRODUCT(H249:K249,Portfolio!$B$24:$E$24)</f>
        <v>-2.2693022306639145E-2</v>
      </c>
      <c r="Q249" s="21">
        <f t="shared" si="26"/>
        <v>170.38337648859434</v>
      </c>
      <c r="R249" s="21">
        <f t="shared" si="27"/>
        <v>194.58481225481037</v>
      </c>
      <c r="S249" s="22">
        <f>Q249/MAX(Q$6:Q249)-1</f>
        <v>-3.2288371135395622E-2</v>
      </c>
      <c r="T249" s="22">
        <f>R249/MAX(R$6:R249)-1</f>
        <v>-1.9067956227751259E-2</v>
      </c>
    </row>
    <row r="250" spans="1:20" x14ac:dyDescent="0.2">
      <c r="A250" s="18">
        <v>44372</v>
      </c>
      <c r="B250" s="19">
        <v>382.01</v>
      </c>
      <c r="C250" s="19">
        <v>188.17</v>
      </c>
      <c r="D250" s="19">
        <v>54.32</v>
      </c>
      <c r="E250" s="19">
        <v>0.9</v>
      </c>
      <c r="F250" s="20">
        <v>4280.7</v>
      </c>
      <c r="H250" s="23">
        <f t="shared" si="21"/>
        <v>7.4369049816713773E-3</v>
      </c>
      <c r="I250" s="23">
        <f t="shared" si="22"/>
        <v>2.7858196318348183E-2</v>
      </c>
      <c r="J250" s="23">
        <f t="shared" si="23"/>
        <v>1.0228752092244608E-2</v>
      </c>
      <c r="K250" s="23">
        <f>E249/100/Inputs!$B$17-'Valuation and Bond'!$B$44*(E250-E249)/100+0.5*'Valuation and Bond'!$B$45*((E250-E249)/100)^2</f>
        <v>-2.0217954936260995E-3</v>
      </c>
      <c r="L250" s="23">
        <f t="shared" si="24"/>
        <v>2.7421425914147646E-2</v>
      </c>
      <c r="M250" s="23">
        <f t="shared" si="25"/>
        <v>1.3226439427533694E-2</v>
      </c>
      <c r="N250" s="23">
        <f>SUMPRODUCT(H250:K250,Portfolio!$B$23:$E$23)</f>
        <v>1.0875514474659518E-2</v>
      </c>
      <c r="O250" s="23">
        <f>SUMPRODUCT(H250:K250,Portfolio!$B$24:$E$24)</f>
        <v>7.302802380879549E-3</v>
      </c>
      <c r="Q250" s="21">
        <f t="shared" si="26"/>
        <v>172.63694189717938</v>
      </c>
      <c r="R250" s="21">
        <f t="shared" si="27"/>
        <v>199.92060526807398</v>
      </c>
      <c r="S250" s="22">
        <f>Q250/MAX(Q$6:Q250)-1</f>
        <v>-1.9488991892897989E-2</v>
      </c>
      <c r="T250" s="22">
        <f>R250/MAX(R$6:R250)-1</f>
        <v>0</v>
      </c>
    </row>
    <row r="251" spans="1:20" x14ac:dyDescent="0.2">
      <c r="A251" s="18">
        <v>44379</v>
      </c>
      <c r="B251" s="19">
        <v>381.49</v>
      </c>
      <c r="C251" s="19">
        <v>192.21</v>
      </c>
      <c r="D251" s="19">
        <v>54.18</v>
      </c>
      <c r="E251" s="19">
        <v>0.88</v>
      </c>
      <c r="F251" s="20">
        <v>4352.34</v>
      </c>
      <c r="H251" s="23">
        <f t="shared" si="21"/>
        <v>-1.361220910447325E-3</v>
      </c>
      <c r="I251" s="23">
        <f t="shared" si="22"/>
        <v>2.1469947388000232E-2</v>
      </c>
      <c r="J251" s="23">
        <f t="shared" si="23"/>
        <v>-2.5773195876288568E-3</v>
      </c>
      <c r="K251" s="23">
        <f>E250/100/Inputs!$B$17-'Valuation and Bond'!$B$44*(E251-E250)/100+0.5*'Valuation and Bond'!$B$45*((E251-E250)/100)^2</f>
        <v>1.0487626281503735E-3</v>
      </c>
      <c r="L251" s="23">
        <f t="shared" si="24"/>
        <v>1.6735580629336333E-2</v>
      </c>
      <c r="M251" s="23">
        <f t="shared" si="25"/>
        <v>6.2446280322111421E-3</v>
      </c>
      <c r="N251" s="23">
        <f>SUMPRODUCT(H251:K251,Portfolio!$B$23:$E$23)</f>
        <v>4.645042379518606E-3</v>
      </c>
      <c r="O251" s="23">
        <f>SUMPRODUCT(H251:K251,Portfolio!$B$24:$E$24)</f>
        <v>2.213726565744826E-3</v>
      </c>
      <c r="Q251" s="21">
        <f t="shared" si="26"/>
        <v>173.71499538394571</v>
      </c>
      <c r="R251" s="21">
        <f t="shared" si="27"/>
        <v>203.26639267700355</v>
      </c>
      <c r="S251" s="22">
        <f>Q251/MAX(Q$6:Q251)-1</f>
        <v>-1.3366065365780888E-2</v>
      </c>
      <c r="T251" s="22">
        <f>R251/MAX(R$6:R251)-1</f>
        <v>0</v>
      </c>
    </row>
    <row r="252" spans="1:20" x14ac:dyDescent="0.2">
      <c r="A252" s="18">
        <v>44386</v>
      </c>
      <c r="B252" s="19">
        <v>383.11</v>
      </c>
      <c r="C252" s="19">
        <v>190.27</v>
      </c>
      <c r="D252" s="19">
        <v>54.46</v>
      </c>
      <c r="E252" s="19">
        <v>0.78</v>
      </c>
      <c r="F252" s="20">
        <v>4369.55</v>
      </c>
      <c r="H252" s="23">
        <f t="shared" si="21"/>
        <v>4.2465071168313884E-3</v>
      </c>
      <c r="I252" s="23">
        <f t="shared" si="22"/>
        <v>-1.0093127308672845E-2</v>
      </c>
      <c r="J252" s="23">
        <f t="shared" si="23"/>
        <v>5.1679586563306845E-3</v>
      </c>
      <c r="K252" s="23">
        <f>E251/100/Inputs!$B$17-'Valuation and Bond'!$B$44*(E252-E251)/100+0.5*'Valuation and Bond'!$B$45*((E252-E251)/100)^2</f>
        <v>4.5567043931031299E-3</v>
      </c>
      <c r="L252" s="23">
        <f t="shared" si="24"/>
        <v>3.954194755005469E-3</v>
      </c>
      <c r="M252" s="23">
        <f t="shared" si="25"/>
        <v>-1.1254289374964784E-4</v>
      </c>
      <c r="N252" s="23">
        <f>SUMPRODUCT(H252:K252,Portfolio!$B$23:$E$23)</f>
        <v>9.6951071439808955E-4</v>
      </c>
      <c r="O252" s="23">
        <f>SUMPRODUCT(H252:K252,Portfolio!$B$24:$E$24)</f>
        <v>2.7841140658317358E-3</v>
      </c>
      <c r="Q252" s="21">
        <f t="shared" si="26"/>
        <v>173.69544499567749</v>
      </c>
      <c r="R252" s="21">
        <f t="shared" si="27"/>
        <v>204.07014758079583</v>
      </c>
      <c r="S252" s="22">
        <f>Q252/MAX(Q$6:Q252)-1</f>
        <v>-1.3477104003856155E-2</v>
      </c>
      <c r="T252" s="22">
        <f>R252/MAX(R$6:R252)-1</f>
        <v>0</v>
      </c>
    </row>
    <row r="253" spans="1:20" x14ac:dyDescent="0.2">
      <c r="A253" s="18">
        <v>44393</v>
      </c>
      <c r="B253" s="19">
        <v>377.14</v>
      </c>
      <c r="C253" s="19">
        <v>186.12</v>
      </c>
      <c r="D253" s="19">
        <v>56.4</v>
      </c>
      <c r="E253" s="19">
        <v>0.81</v>
      </c>
      <c r="F253" s="20">
        <v>4327.16</v>
      </c>
      <c r="H253" s="23">
        <f t="shared" si="21"/>
        <v>-1.5582991830022763E-2</v>
      </c>
      <c r="I253" s="23">
        <f t="shared" si="22"/>
        <v>-2.1811110527145683E-2</v>
      </c>
      <c r="J253" s="23">
        <f t="shared" si="23"/>
        <v>3.5622475211164017E-2</v>
      </c>
      <c r="K253" s="23">
        <f>E252/100/Inputs!$B$17-'Valuation and Bond'!$B$44*(E253-E252)/100+0.5*'Valuation and Bond'!$B$45*((E253-E252)/100)^2</f>
        <v>-1.1618326016404664E-3</v>
      </c>
      <c r="L253" s="23">
        <f t="shared" si="24"/>
        <v>-9.7012278152213138E-3</v>
      </c>
      <c r="M253" s="23">
        <f t="shared" si="25"/>
        <v>2.5278059720036704E-3</v>
      </c>
      <c r="N253" s="23">
        <f>SUMPRODUCT(H253:K253,Portfolio!$B$23:$E$23)</f>
        <v>-7.3336493691122375E-4</v>
      </c>
      <c r="O253" s="23">
        <f>SUMPRODUCT(H253:K253,Portfolio!$B$24:$E$24)</f>
        <v>6.7041606326810436E-3</v>
      </c>
      <c r="Q253" s="21">
        <f t="shared" si="26"/>
        <v>174.1345133788474</v>
      </c>
      <c r="R253" s="21">
        <f t="shared" si="27"/>
        <v>202.0904165888287</v>
      </c>
      <c r="S253" s="22">
        <f>Q253/MAX(Q$6:Q253)-1</f>
        <v>-1.0983365535838785E-2</v>
      </c>
      <c r="T253" s="22">
        <f>R253/MAX(R$6:R253)-1</f>
        <v>-9.7012278152213138E-3</v>
      </c>
    </row>
    <row r="254" spans="1:20" x14ac:dyDescent="0.2">
      <c r="A254" s="18">
        <v>44400</v>
      </c>
      <c r="B254" s="19">
        <v>380.77</v>
      </c>
      <c r="C254" s="19">
        <v>186.85</v>
      </c>
      <c r="D254" s="19">
        <v>57.01</v>
      </c>
      <c r="E254" s="19">
        <v>0.71</v>
      </c>
      <c r="F254" s="20">
        <v>4411.79</v>
      </c>
      <c r="H254" s="23">
        <f t="shared" si="21"/>
        <v>9.6250729172191463E-3</v>
      </c>
      <c r="I254" s="23">
        <f t="shared" si="22"/>
        <v>3.9222007307113671E-3</v>
      </c>
      <c r="J254" s="23">
        <f t="shared" si="23"/>
        <v>1.0815602836879323E-2</v>
      </c>
      <c r="K254" s="23">
        <f>E253/100/Inputs!$B$17-'Valuation and Bond'!$B$44*(E254-E253)/100+0.5*'Valuation and Bond'!$B$45*((E254-E253)/100)^2</f>
        <v>4.5432428546415956E-3</v>
      </c>
      <c r="L254" s="23">
        <f t="shared" si="24"/>
        <v>1.9557862431710538E-2</v>
      </c>
      <c r="M254" s="23">
        <f t="shared" si="25"/>
        <v>7.1285629310413792E-3</v>
      </c>
      <c r="N254" s="23">
        <f>SUMPRODUCT(H254:K254,Portfolio!$B$23:$E$23)</f>
        <v>7.2265298348628583E-3</v>
      </c>
      <c r="O254" s="23">
        <f>SUMPRODUCT(H254:K254,Portfolio!$B$24:$E$24)</f>
        <v>7.2405130984833982E-3</v>
      </c>
      <c r="Q254" s="21">
        <f t="shared" si="26"/>
        <v>175.37584221593477</v>
      </c>
      <c r="R254" s="21">
        <f t="shared" si="27"/>
        <v>206.04287315524007</v>
      </c>
      <c r="S254" s="22">
        <f>Q254/MAX(Q$6:Q254)-1</f>
        <v>-3.9330982172143258E-3</v>
      </c>
      <c r="T254" s="22">
        <f>R254/MAX(R$6:R254)-1</f>
        <v>0</v>
      </c>
    </row>
    <row r="255" spans="1:20" x14ac:dyDescent="0.2">
      <c r="A255" s="18">
        <v>44407</v>
      </c>
      <c r="B255" s="19">
        <v>371.67</v>
      </c>
      <c r="C255" s="19">
        <v>190.62</v>
      </c>
      <c r="D255" s="19">
        <v>57.03</v>
      </c>
      <c r="E255" s="19">
        <v>0.72</v>
      </c>
      <c r="F255" s="20">
        <v>4395.26</v>
      </c>
      <c r="H255" s="23">
        <f t="shared" si="21"/>
        <v>-2.3898941618299641E-2</v>
      </c>
      <c r="I255" s="23">
        <f t="shared" si="22"/>
        <v>2.0176612255820237E-2</v>
      </c>
      <c r="J255" s="23">
        <f t="shared" si="23"/>
        <v>3.5081564637784446E-4</v>
      </c>
      <c r="K255" s="23">
        <f>E254/100/Inputs!$B$17-'Valuation and Bond'!$B$44*(E255-E254)/100+0.5*'Valuation and Bond'!$B$45*((E255-E254)/100)^2</f>
        <v>-3.0096519980432179E-4</v>
      </c>
      <c r="L255" s="23">
        <f t="shared" si="24"/>
        <v>-3.7467785184697178E-3</v>
      </c>
      <c r="M255" s="23">
        <f t="shared" si="25"/>
        <v>3.5498795206876338E-3</v>
      </c>
      <c r="N255" s="23">
        <f>SUMPRODUCT(H255:K255,Portfolio!$B$23:$E$23)</f>
        <v>-9.1811972897647034E-4</v>
      </c>
      <c r="O255" s="23">
        <f>SUMPRODUCT(H255:K255,Portfolio!$B$24:$E$24)</f>
        <v>-4.1075493242177715E-4</v>
      </c>
      <c r="Q255" s="21">
        <f t="shared" si="26"/>
        <v>175.99840532664047</v>
      </c>
      <c r="R255" s="21">
        <f t="shared" si="27"/>
        <v>205.27087614421825</v>
      </c>
      <c r="S255" s="22">
        <f>Q255/MAX(Q$6:Q255)-1</f>
        <v>-3.9718072134076188E-4</v>
      </c>
      <c r="T255" s="22">
        <f>R255/MAX(R$6:R255)-1</f>
        <v>-3.7467785184697178E-3</v>
      </c>
    </row>
    <row r="256" spans="1:20" x14ac:dyDescent="0.2">
      <c r="A256" s="18">
        <v>44414</v>
      </c>
      <c r="B256" s="19">
        <v>362.05</v>
      </c>
      <c r="C256" s="19">
        <v>192.96</v>
      </c>
      <c r="D256" s="19">
        <v>56.64</v>
      </c>
      <c r="E256" s="19">
        <v>0.69</v>
      </c>
      <c r="F256" s="20">
        <v>4436.5200000000004</v>
      </c>
      <c r="H256" s="23">
        <f t="shared" si="21"/>
        <v>-2.5883175935641822E-2</v>
      </c>
      <c r="I256" s="23">
        <f t="shared" si="22"/>
        <v>1.227573182247399E-2</v>
      </c>
      <c r="J256" s="23">
        <f t="shared" si="23"/>
        <v>-6.8385060494476901E-3</v>
      </c>
      <c r="K256" s="23">
        <f>E255/100/Inputs!$B$17-'Valuation and Bond'!$B$44*(E256-E255)/100+0.5*'Valuation and Bond'!$B$45*((E256-E255)/100)^2</f>
        <v>1.4523292872656555E-3</v>
      </c>
      <c r="L256" s="23">
        <f t="shared" si="24"/>
        <v>9.3873855016541885E-3</v>
      </c>
      <c r="M256" s="23">
        <f t="shared" si="25"/>
        <v>-1.3960592442915894E-3</v>
      </c>
      <c r="N256" s="23">
        <f>SUMPRODUCT(H256:K256,Portfolio!$B$23:$E$23)</f>
        <v>-4.7484052188374671E-3</v>
      </c>
      <c r="O256" s="23">
        <f>SUMPRODUCT(H256:K256,Portfolio!$B$24:$E$24)</f>
        <v>-3.4463047688503444E-3</v>
      </c>
      <c r="Q256" s="21">
        <f t="shared" si="26"/>
        <v>175.75270112590363</v>
      </c>
      <c r="R256" s="21">
        <f t="shared" si="27"/>
        <v>207.19783299084634</v>
      </c>
      <c r="S256" s="22">
        <f>Q256/MAX(Q$6:Q256)-1</f>
        <v>-1.7926854778147483E-3</v>
      </c>
      <c r="T256" s="22">
        <f>R256/MAX(R$6:R256)-1</f>
        <v>0</v>
      </c>
    </row>
    <row r="257" spans="1:20" x14ac:dyDescent="0.2">
      <c r="A257" s="18">
        <v>44421</v>
      </c>
      <c r="B257" s="19">
        <v>357.98</v>
      </c>
      <c r="C257" s="19">
        <v>188.7</v>
      </c>
      <c r="D257" s="19">
        <v>57.23</v>
      </c>
      <c r="E257" s="19">
        <v>0.81</v>
      </c>
      <c r="F257" s="20">
        <v>4468</v>
      </c>
      <c r="H257" s="23">
        <f t="shared" si="21"/>
        <v>-1.1241541223587892E-2</v>
      </c>
      <c r="I257" s="23">
        <f t="shared" si="22"/>
        <v>-2.2077114427860756E-2</v>
      </c>
      <c r="J257" s="23">
        <f t="shared" si="23"/>
        <v>1.0416666666666519E-2</v>
      </c>
      <c r="K257" s="23">
        <f>E256/100/Inputs!$B$17-'Valuation and Bond'!$B$44*(E257-E256)/100+0.5*'Valuation and Bond'!$B$45*((E257-E256)/100)^2</f>
        <v>-5.1024272158876546E-3</v>
      </c>
      <c r="L257" s="23">
        <f t="shared" si="24"/>
        <v>7.0956515467077708E-3</v>
      </c>
      <c r="M257" s="23">
        <f t="shared" si="25"/>
        <v>-6.2798124164970262E-3</v>
      </c>
      <c r="N257" s="23">
        <f>SUMPRODUCT(H257:K257,Portfolio!$B$23:$E$23)</f>
        <v>-7.0011040501674459E-3</v>
      </c>
      <c r="O257" s="23">
        <f>SUMPRODUCT(H257:K257,Portfolio!$B$24:$E$24)</f>
        <v>-2.8848905003243551E-3</v>
      </c>
      <c r="Q257" s="21">
        <f t="shared" si="26"/>
        <v>174.64900713114028</v>
      </c>
      <c r="R257" s="21">
        <f t="shared" si="27"/>
        <v>208.66803661498233</v>
      </c>
      <c r="S257" s="22">
        <f>Q257/MAX(Q$6:Q257)-1</f>
        <v>-8.0612401657893518E-3</v>
      </c>
      <c r="T257" s="22">
        <f>R257/MAX(R$6:R257)-1</f>
        <v>0</v>
      </c>
    </row>
    <row r="258" spans="1:20" x14ac:dyDescent="0.2">
      <c r="A258" s="18">
        <v>44428</v>
      </c>
      <c r="B258" s="19">
        <v>357.17</v>
      </c>
      <c r="C258" s="19">
        <v>184.97</v>
      </c>
      <c r="D258" s="19">
        <v>56.64</v>
      </c>
      <c r="E258" s="19">
        <v>0.78</v>
      </c>
      <c r="F258" s="20">
        <v>4441.67</v>
      </c>
      <c r="H258" s="23">
        <f t="shared" si="21"/>
        <v>-2.2626962400134065E-3</v>
      </c>
      <c r="I258" s="23">
        <f t="shared" si="22"/>
        <v>-1.9766825649178532E-2</v>
      </c>
      <c r="J258" s="23">
        <f t="shared" si="23"/>
        <v>-1.0309278350515427E-2</v>
      </c>
      <c r="K258" s="23">
        <f>E257/100/Inputs!$B$17-'Valuation and Bond'!$B$44*(E258-E257)/100+0.5*'Valuation and Bond'!$B$45*((E258-E257)/100)^2</f>
        <v>1.4696369795733479E-3</v>
      </c>
      <c r="L258" s="23">
        <f t="shared" si="24"/>
        <v>-5.8930170098477896E-3</v>
      </c>
      <c r="M258" s="23">
        <f t="shared" si="25"/>
        <v>-1.000831376341498E-2</v>
      </c>
      <c r="N258" s="23">
        <f>SUMPRODUCT(H258:K258,Portfolio!$B$23:$E$23)</f>
        <v>-7.7172908150335041E-3</v>
      </c>
      <c r="O258" s="23">
        <f>SUMPRODUCT(H258:K258,Portfolio!$B$24:$E$24)</f>
        <v>-5.8126870467792024E-3</v>
      </c>
      <c r="Q258" s="21">
        <f t="shared" si="26"/>
        <v>172.90106506930294</v>
      </c>
      <c r="R258" s="21">
        <f t="shared" si="27"/>
        <v>207.43835232579869</v>
      </c>
      <c r="S258" s="22">
        <f>Q258/MAX(Q$6:Q258)-1</f>
        <v>-1.7988874508302777E-2</v>
      </c>
      <c r="T258" s="22">
        <f>R258/MAX(R$6:R258)-1</f>
        <v>-5.8930170098477896E-3</v>
      </c>
    </row>
    <row r="259" spans="1:20" x14ac:dyDescent="0.2">
      <c r="A259" s="18">
        <v>44435</v>
      </c>
      <c r="B259" s="19">
        <v>361.99</v>
      </c>
      <c r="C259" s="19">
        <v>190.52</v>
      </c>
      <c r="D259" s="19">
        <v>55.65</v>
      </c>
      <c r="E259" s="19">
        <v>0.81</v>
      </c>
      <c r="F259" s="20">
        <v>4509.37</v>
      </c>
      <c r="H259" s="23">
        <f t="shared" si="21"/>
        <v>1.3494974381947022E-2</v>
      </c>
      <c r="I259" s="23">
        <f t="shared" si="22"/>
        <v>3.0004865653889823E-2</v>
      </c>
      <c r="J259" s="23">
        <f t="shared" si="23"/>
        <v>-1.7478813559322015E-2</v>
      </c>
      <c r="K259" s="23">
        <f>E258/100/Inputs!$B$17-'Valuation and Bond'!$B$44*(E259-E258)/100+0.5*'Valuation and Bond'!$B$45*((E259-E258)/100)^2</f>
        <v>-1.1618326016404664E-3</v>
      </c>
      <c r="L259" s="23">
        <f t="shared" si="24"/>
        <v>1.5242014827756112E-2</v>
      </c>
      <c r="M259" s="23">
        <f t="shared" si="25"/>
        <v>5.5582236747923498E-3</v>
      </c>
      <c r="N259" s="23">
        <f>SUMPRODUCT(H259:K259,Portfolio!$B$23:$E$23)</f>
        <v>6.2147984687185905E-3</v>
      </c>
      <c r="O259" s="23">
        <f>SUMPRODUCT(H259:K259,Portfolio!$B$24:$E$24)</f>
        <v>-6.7266078279057016E-4</v>
      </c>
      <c r="Q259" s="21">
        <f t="shared" si="26"/>
        <v>173.86208786256796</v>
      </c>
      <c r="R259" s="21">
        <f t="shared" si="27"/>
        <v>210.60013076779381</v>
      </c>
      <c r="S259" s="22">
        <f>Q259/MAX(Q$6:Q259)-1</f>
        <v>-1.2530637021685331E-2</v>
      </c>
      <c r="T259" s="22">
        <f>R259/MAX(R$6:R259)-1</f>
        <v>0</v>
      </c>
    </row>
    <row r="260" spans="1:20" x14ac:dyDescent="0.2">
      <c r="A260" s="18">
        <v>44442</v>
      </c>
      <c r="B260" s="19">
        <v>356</v>
      </c>
      <c r="C260" s="19">
        <v>189.88</v>
      </c>
      <c r="D260" s="19">
        <v>56.73</v>
      </c>
      <c r="E260" s="19">
        <v>0.78</v>
      </c>
      <c r="F260" s="20">
        <v>4535.43</v>
      </c>
      <c r="H260" s="23">
        <f t="shared" si="21"/>
        <v>-1.6547418436973382E-2</v>
      </c>
      <c r="I260" s="23">
        <f t="shared" si="22"/>
        <v>-3.3592273777032222E-3</v>
      </c>
      <c r="J260" s="23">
        <f t="shared" si="23"/>
        <v>1.9407008086253397E-2</v>
      </c>
      <c r="K260" s="23">
        <f>E259/100/Inputs!$B$17-'Valuation and Bond'!$B$44*(E260-E259)/100+0.5*'Valuation and Bond'!$B$45*((E260-E259)/100)^2</f>
        <v>1.4696369795733479E-3</v>
      </c>
      <c r="L260" s="23">
        <f t="shared" si="24"/>
        <v>5.7790777869193288E-3</v>
      </c>
      <c r="M260" s="23">
        <f t="shared" si="25"/>
        <v>3.5427146474841546E-3</v>
      </c>
      <c r="N260" s="23">
        <f>SUMPRODUCT(H260:K260,Portfolio!$B$23:$E$23)</f>
        <v>2.42499812787535E-4</v>
      </c>
      <c r="O260" s="23">
        <f>SUMPRODUCT(H260:K260,Portfolio!$B$24:$E$24)</f>
        <v>4.5832844893095893E-3</v>
      </c>
      <c r="Q260" s="21">
        <f t="shared" si="26"/>
        <v>174.47803162788088</v>
      </c>
      <c r="R260" s="21">
        <f t="shared" si="27"/>
        <v>211.81720530543629</v>
      </c>
      <c r="S260" s="22">
        <f>Q260/MAX(Q$6:Q260)-1</f>
        <v>-9.0323148455200286E-3</v>
      </c>
      <c r="T260" s="22">
        <f>R260/MAX(R$6:R260)-1</f>
        <v>0</v>
      </c>
    </row>
    <row r="261" spans="1:20" x14ac:dyDescent="0.2">
      <c r="A261" s="18">
        <v>44449</v>
      </c>
      <c r="B261" s="19">
        <v>345.88</v>
      </c>
      <c r="C261" s="19">
        <v>190.65</v>
      </c>
      <c r="D261" s="19">
        <v>55.61</v>
      </c>
      <c r="E261" s="19">
        <v>0.81</v>
      </c>
      <c r="F261" s="20">
        <v>4458.58</v>
      </c>
      <c r="H261" s="23">
        <f t="shared" si="21"/>
        <v>-2.8426966292134814E-2</v>
      </c>
      <c r="I261" s="23">
        <f t="shared" si="22"/>
        <v>4.0551927533178933E-3</v>
      </c>
      <c r="J261" s="23">
        <f t="shared" si="23"/>
        <v>-1.9742640578177317E-2</v>
      </c>
      <c r="K261" s="23">
        <f>E260/100/Inputs!$B$17-'Valuation and Bond'!$B$44*(E261-E260)/100+0.5*'Valuation and Bond'!$B$45*((E261-E260)/100)^2</f>
        <v>-1.1618326016404664E-3</v>
      </c>
      <c r="L261" s="23">
        <f t="shared" si="24"/>
        <v>-1.6944369111638879E-2</v>
      </c>
      <c r="M261" s="23">
        <f t="shared" si="25"/>
        <v>-9.323867140575896E-3</v>
      </c>
      <c r="N261" s="23">
        <f>SUMPRODUCT(H261:K261,Portfolio!$B$23:$E$23)</f>
        <v>-1.1319061679658677E-2</v>
      </c>
      <c r="O261" s="23">
        <f>SUMPRODUCT(H261:K261,Portfolio!$B$24:$E$24)</f>
        <v>-1.0278893839001732E-2</v>
      </c>
      <c r="Q261" s="21">
        <f t="shared" si="26"/>
        <v>172.85122164203332</v>
      </c>
      <c r="R261" s="21">
        <f t="shared" si="27"/>
        <v>208.22809639454519</v>
      </c>
      <c r="S261" s="22">
        <f>Q261/MAX(Q$6:Q261)-1</f>
        <v>-1.827196588250446E-2</v>
      </c>
      <c r="T261" s="22">
        <f>R261/MAX(R$6:R261)-1</f>
        <v>-1.6944369111638879E-2</v>
      </c>
    </row>
    <row r="262" spans="1:20" x14ac:dyDescent="0.2">
      <c r="A262" s="18">
        <v>44456</v>
      </c>
      <c r="B262" s="19">
        <v>340.98</v>
      </c>
      <c r="C262" s="19">
        <v>196.25</v>
      </c>
      <c r="D262" s="19">
        <v>54.44</v>
      </c>
      <c r="E262" s="19">
        <v>0.83</v>
      </c>
      <c r="F262" s="20">
        <v>4432.99</v>
      </c>
      <c r="H262" s="23">
        <f t="shared" si="21"/>
        <v>-1.4166763039204278E-2</v>
      </c>
      <c r="I262" s="23">
        <f t="shared" si="22"/>
        <v>2.937319695777596E-2</v>
      </c>
      <c r="J262" s="23">
        <f t="shared" si="23"/>
        <v>-2.1039381406221969E-2</v>
      </c>
      <c r="K262" s="23">
        <f>E261/100/Inputs!$B$17-'Valuation and Bond'!$B$44*(E262-E261)/100+0.5*'Valuation and Bond'!$B$45*((E262-E261)/100)^2</f>
        <v>-7.1901196445370318E-4</v>
      </c>
      <c r="L262" s="23">
        <f t="shared" si="24"/>
        <v>-5.7394955344527432E-3</v>
      </c>
      <c r="M262" s="23">
        <f t="shared" si="25"/>
        <v>5.7146527588084557E-4</v>
      </c>
      <c r="N262" s="23">
        <f>SUMPRODUCT(H262:K262,Portfolio!$B$23:$E$23)</f>
        <v>-1.6379898630259973E-3</v>
      </c>
      <c r="O262" s="23">
        <f>SUMPRODUCT(H262:K262,Portfolio!$B$24:$E$24)</f>
        <v>-5.3507277466127556E-3</v>
      </c>
      <c r="Q262" s="21">
        <f t="shared" si="26"/>
        <v>172.95000011309531</v>
      </c>
      <c r="R262" s="21">
        <f t="shared" si="27"/>
        <v>207.0329721651411</v>
      </c>
      <c r="S262" s="22">
        <f>Q262/MAX(Q$6:Q262)-1</f>
        <v>-1.7710942400647633E-2</v>
      </c>
      <c r="T262" s="22">
        <f>R262/MAX(R$6:R262)-1</f>
        <v>-2.2586612515241189E-2</v>
      </c>
    </row>
    <row r="263" spans="1:20" x14ac:dyDescent="0.2">
      <c r="A263" s="18">
        <v>44463</v>
      </c>
      <c r="B263" s="19">
        <v>349.52</v>
      </c>
      <c r="C263" s="19">
        <v>200.65</v>
      </c>
      <c r="D263" s="19">
        <v>53.89</v>
      </c>
      <c r="E263" s="19">
        <v>0.89</v>
      </c>
      <c r="F263" s="20">
        <v>4455.4799999999996</v>
      </c>
      <c r="H263" s="23">
        <f t="shared" ref="H263:H326" si="28">B263/B262-1</f>
        <v>2.5045457211566591E-2</v>
      </c>
      <c r="I263" s="23">
        <f t="shared" ref="I263:I326" si="29">C263/C262-1</f>
        <v>2.2420382165605046E-2</v>
      </c>
      <c r="J263" s="23">
        <f t="shared" ref="J263:J326" si="30">D263/D262-1</f>
        <v>-1.0102865540044026E-2</v>
      </c>
      <c r="K263" s="23">
        <f>E262/100/Inputs!$B$17-'Valuation and Bond'!$B$44*(E263-E262)/100+0.5*'Valuation and Bond'!$B$45*((E263-E262)/100)^2</f>
        <v>-2.4620146715018973E-3</v>
      </c>
      <c r="L263" s="23">
        <f t="shared" ref="L263:L326" si="31">F263/F262-1</f>
        <v>5.0733252274424157E-3</v>
      </c>
      <c r="M263" s="23">
        <f t="shared" ref="M263:M326" si="32">SUMPRODUCT(H263:K263,$H$4:$K$4)</f>
        <v>6.8151291411169997E-3</v>
      </c>
      <c r="N263" s="23">
        <f>SUMPRODUCT(H263:K263,Portfolio!$B$23:$E$23)</f>
        <v>8.7252397914064292E-3</v>
      </c>
      <c r="O263" s="23">
        <f>SUMPRODUCT(H263:K263,Portfolio!$B$24:$E$24)</f>
        <v>1.7901716062833706E-3</v>
      </c>
      <c r="Q263" s="21">
        <f t="shared" ref="Q263:Q326" si="33">Q262*(1+M263)</f>
        <v>174.12867669882223</v>
      </c>
      <c r="R263" s="21">
        <f t="shared" ref="R263:R326" si="34">R262*(1+L263)</f>
        <v>208.08331776573888</v>
      </c>
      <c r="S263" s="22">
        <f>Q263/MAX(Q$6:Q263)-1</f>
        <v>-1.1016515619202027E-2</v>
      </c>
      <c r="T263" s="22">
        <f>R263/MAX(R$6:R263)-1</f>
        <v>-1.7627876518874874E-2</v>
      </c>
    </row>
    <row r="264" spans="1:20" x14ac:dyDescent="0.2">
      <c r="A264" s="18">
        <v>44470</v>
      </c>
      <c r="B264" s="19">
        <v>347.8</v>
      </c>
      <c r="C264" s="19">
        <v>193.79</v>
      </c>
      <c r="D264" s="19">
        <v>53.02</v>
      </c>
      <c r="E264" s="19">
        <v>0.98</v>
      </c>
      <c r="F264" s="20">
        <v>4357.04</v>
      </c>
      <c r="H264" s="23">
        <f t="shared" si="28"/>
        <v>-4.9210345616844675E-3</v>
      </c>
      <c r="I264" s="23">
        <f t="shared" si="29"/>
        <v>-3.4188886120109729E-2</v>
      </c>
      <c r="J264" s="23">
        <f t="shared" si="30"/>
        <v>-1.614399703098901E-2</v>
      </c>
      <c r="K264" s="23">
        <f>E263/100/Inputs!$B$17-'Valuation and Bond'!$B$44*(E264-E263)/100+0.5*'Valuation and Bond'!$B$45*((E264-E263)/100)^2</f>
        <v>-3.7582385172765971E-3</v>
      </c>
      <c r="L264" s="23">
        <f t="shared" si="31"/>
        <v>-2.2094140249759753E-2</v>
      </c>
      <c r="M264" s="23">
        <f t="shared" si="32"/>
        <v>-1.8134616200473515E-2</v>
      </c>
      <c r="N264" s="23">
        <f>SUMPRODUCT(H264:K264,Portfolio!$B$23:$E$23)</f>
        <v>-1.475303905751495E-2</v>
      </c>
      <c r="O264" s="23">
        <f>SUMPRODUCT(H264:K264,Portfolio!$B$24:$E$24)</f>
        <v>-1.2132197078610272E-2</v>
      </c>
      <c r="Q264" s="21">
        <f t="shared" si="33"/>
        <v>170.97091997739275</v>
      </c>
      <c r="R264" s="21">
        <f t="shared" si="34"/>
        <v>203.48589575938732</v>
      </c>
      <c r="S264" s="22">
        <f>Q264/MAX(Q$6:Q264)-1</f>
        <v>-2.8951351537054859E-2</v>
      </c>
      <c r="T264" s="22">
        <f>R264/MAX(R$6:R264)-1</f>
        <v>-3.9332543992521174E-2</v>
      </c>
    </row>
    <row r="265" spans="1:20" x14ac:dyDescent="0.2">
      <c r="A265" s="18">
        <v>44477</v>
      </c>
      <c r="B265" s="19">
        <v>353.75</v>
      </c>
      <c r="C265" s="19">
        <v>195.24</v>
      </c>
      <c r="D265" s="19">
        <v>54.12</v>
      </c>
      <c r="E265" s="19">
        <v>1</v>
      </c>
      <c r="F265" s="20">
        <v>4391.34</v>
      </c>
      <c r="H265" s="23">
        <f t="shared" si="28"/>
        <v>1.7107533064979918E-2</v>
      </c>
      <c r="I265" s="23">
        <f t="shared" si="29"/>
        <v>7.4823262294236859E-3</v>
      </c>
      <c r="J265" s="23">
        <f t="shared" si="30"/>
        <v>2.0746887966804906E-2</v>
      </c>
      <c r="K265" s="23">
        <f>E264/100/Inputs!$B$17-'Valuation and Bond'!$B$44*(E265-E264)/100+0.5*'Valuation and Bond'!$B$45*((E265-E264)/100)^2</f>
        <v>-6.8631965676140049E-4</v>
      </c>
      <c r="L265" s="23">
        <f t="shared" si="31"/>
        <v>7.8723169858436748E-3</v>
      </c>
      <c r="M265" s="23">
        <f t="shared" si="32"/>
        <v>1.1600726544264032E-2</v>
      </c>
      <c r="N265" s="23">
        <f>SUMPRODUCT(H265:K265,Portfolio!$B$23:$E$23)</f>
        <v>1.1162606901111777E-2</v>
      </c>
      <c r="O265" s="23">
        <f>SUMPRODUCT(H265:K265,Portfolio!$B$24:$E$24)</f>
        <v>9.9482640965038675E-3</v>
      </c>
      <c r="Q265" s="21">
        <f t="shared" si="33"/>
        <v>172.95430686707175</v>
      </c>
      <c r="R265" s="21">
        <f t="shared" si="34"/>
        <v>205.08780123295355</v>
      </c>
      <c r="S265" s="22">
        <f>Q265/MAX(Q$6:Q265)-1</f>
        <v>-1.7686481705058932E-2</v>
      </c>
      <c r="T265" s="22">
        <f>R265/MAX(R$6:R265)-1</f>
        <v>-3.1769865260846353E-2</v>
      </c>
    </row>
    <row r="266" spans="1:20" x14ac:dyDescent="0.2">
      <c r="A266" s="18">
        <v>44484</v>
      </c>
      <c r="B266" s="19">
        <v>365.62</v>
      </c>
      <c r="C266" s="19">
        <v>194.45</v>
      </c>
      <c r="D266" s="19">
        <v>54.48</v>
      </c>
      <c r="E266" s="19">
        <v>1.0900000000000001</v>
      </c>
      <c r="F266" s="20">
        <v>4471.37</v>
      </c>
      <c r="H266" s="23">
        <f t="shared" si="28"/>
        <v>3.3554770318021232E-2</v>
      </c>
      <c r="I266" s="23">
        <f t="shared" si="29"/>
        <v>-4.046301987297829E-3</v>
      </c>
      <c r="J266" s="23">
        <f t="shared" si="30"/>
        <v>6.6518847006651338E-3</v>
      </c>
      <c r="K266" s="23">
        <f>E265/100/Inputs!$B$17-'Valuation and Bond'!$B$44*(E266-E265)/100+0.5*'Valuation and Bond'!$B$45*((E266-E265)/100)^2</f>
        <v>-3.7370846711227554E-3</v>
      </c>
      <c r="L266" s="23">
        <f t="shared" si="31"/>
        <v>1.8224505504014665E-2</v>
      </c>
      <c r="M266" s="23">
        <f t="shared" si="32"/>
        <v>4.608321563579462E-3</v>
      </c>
      <c r="N266" s="23">
        <f>SUMPRODUCT(H266:K266,Portfolio!$B$23:$E$23)</f>
        <v>8.1058170900664452E-3</v>
      </c>
      <c r="O266" s="23">
        <f>SUMPRODUCT(H266:K266,Portfolio!$B$24:$E$24)</f>
        <v>4.5476389905408834E-3</v>
      </c>
      <c r="Q266" s="21">
        <f t="shared" si="33"/>
        <v>173.75133592892121</v>
      </c>
      <c r="R266" s="21">
        <f t="shared" si="34"/>
        <v>208.82542499532977</v>
      </c>
      <c r="S266" s="22">
        <f>Q266/MAX(Q$6:Q266)-1</f>
        <v>-1.3159665136504795E-2</v>
      </c>
      <c r="T266" s="22">
        <f>R266/MAX(R$6:R266)-1</f>
        <v>-1.412434984113986E-2</v>
      </c>
    </row>
    <row r="267" spans="1:20" x14ac:dyDescent="0.2">
      <c r="A267" s="18">
        <v>44491</v>
      </c>
      <c r="B267" s="19">
        <v>374.6</v>
      </c>
      <c r="C267" s="19">
        <v>199.07</v>
      </c>
      <c r="D267" s="19">
        <v>54.45</v>
      </c>
      <c r="E267" s="19">
        <v>1.19</v>
      </c>
      <c r="F267" s="20">
        <v>4544.8999999999996</v>
      </c>
      <c r="H267" s="23">
        <f t="shared" si="28"/>
        <v>2.4561019637875381E-2</v>
      </c>
      <c r="I267" s="23">
        <f t="shared" si="29"/>
        <v>2.3759321162252434E-2</v>
      </c>
      <c r="J267" s="23">
        <f t="shared" si="30"/>
        <v>-5.5066079295140735E-4</v>
      </c>
      <c r="K267" s="23">
        <f>E266/100/Inputs!$B$17-'Valuation and Bond'!$B$44*(E267-E266)/100+0.5*'Valuation and Bond'!$B$45*((E267-E266)/100)^2</f>
        <v>-4.1552454929941864E-3</v>
      </c>
      <c r="L267" s="23">
        <f t="shared" si="31"/>
        <v>1.6444624354504223E-2</v>
      </c>
      <c r="M267" s="23">
        <f t="shared" si="32"/>
        <v>1.0078013969341854E-2</v>
      </c>
      <c r="N267" s="23">
        <f>SUMPRODUCT(H267:K267,Portfolio!$B$23:$E$23)</f>
        <v>1.0903608628545555E-2</v>
      </c>
      <c r="O267" s="23">
        <f>SUMPRODUCT(H267:K267,Portfolio!$B$24:$E$24)</f>
        <v>4.4630425454340421E-3</v>
      </c>
      <c r="Q267" s="21">
        <f t="shared" si="33"/>
        <v>175.50240431960469</v>
      </c>
      <c r="R267" s="21">
        <f t="shared" si="34"/>
        <v>212.25948066504768</v>
      </c>
      <c r="S267" s="22">
        <f>Q267/MAX(Q$6:Q267)-1</f>
        <v>-3.2142744562404513E-3</v>
      </c>
      <c r="T267" s="22">
        <f>R267/MAX(R$6:R267)-1</f>
        <v>0</v>
      </c>
    </row>
    <row r="268" spans="1:20" x14ac:dyDescent="0.2">
      <c r="A268" s="18">
        <v>44498</v>
      </c>
      <c r="B268" s="19">
        <v>332.32</v>
      </c>
      <c r="C268" s="19">
        <v>187.48</v>
      </c>
      <c r="D268" s="19">
        <v>56.37</v>
      </c>
      <c r="E268" s="19">
        <v>1.18</v>
      </c>
      <c r="F268" s="20">
        <v>4605.38</v>
      </c>
      <c r="H268" s="23">
        <f t="shared" si="28"/>
        <v>-0.11286705819540854</v>
      </c>
      <c r="I268" s="23">
        <f t="shared" si="29"/>
        <v>-5.8220726377656074E-2</v>
      </c>
      <c r="J268" s="23">
        <f t="shared" si="30"/>
        <v>3.526170798898054E-2</v>
      </c>
      <c r="K268" s="23">
        <f>E267/100/Inputs!$B$17-'Valuation and Bond'!$B$44*(E268-E267)/100+0.5*'Valuation and Bond'!$B$45*((E268-E267)/100)^2</f>
        <v>6.6657594265156497E-4</v>
      </c>
      <c r="L268" s="23">
        <f t="shared" si="31"/>
        <v>1.3307223481264785E-2</v>
      </c>
      <c r="M268" s="23">
        <f t="shared" si="32"/>
        <v>-2.2133583280706894E-2</v>
      </c>
      <c r="N268" s="23">
        <f>SUMPRODUCT(H268:K268,Portfolio!$B$23:$E$23)</f>
        <v>-3.3789875160358127E-2</v>
      </c>
      <c r="O268" s="23">
        <f>SUMPRODUCT(H268:K268,Portfolio!$B$24:$E$24)</f>
        <v>-1.0047217100861486E-2</v>
      </c>
      <c r="Q268" s="21">
        <f t="shared" si="33"/>
        <v>171.61790723763244</v>
      </c>
      <c r="R268" s="21">
        <f t="shared" si="34"/>
        <v>215.08406501027466</v>
      </c>
      <c r="S268" s="22">
        <f>Q268/MAX(Q$6:Q268)-1</f>
        <v>-2.5276714325583094E-2</v>
      </c>
      <c r="T268" s="22">
        <f>R268/MAX(R$6:R268)-1</f>
        <v>0</v>
      </c>
    </row>
    <row r="269" spans="1:20" x14ac:dyDescent="0.2">
      <c r="A269" s="18">
        <v>44505</v>
      </c>
      <c r="B269" s="19">
        <v>339.89</v>
      </c>
      <c r="C269" s="19">
        <v>193.4</v>
      </c>
      <c r="D269" s="19">
        <v>56.84</v>
      </c>
      <c r="E269" s="19">
        <v>1.1399999999999999</v>
      </c>
      <c r="F269" s="20">
        <v>4697.53</v>
      </c>
      <c r="H269" s="23">
        <f t="shared" si="28"/>
        <v>2.2779248916706685E-2</v>
      </c>
      <c r="I269" s="23">
        <f t="shared" si="29"/>
        <v>3.1576701514828276E-2</v>
      </c>
      <c r="J269" s="23">
        <f t="shared" si="30"/>
        <v>8.3377683164804761E-3</v>
      </c>
      <c r="K269" s="23">
        <f>E268/100/Inputs!$B$17-'Valuation and Bond'!$B$44*(E269-E268)/100+0.5*'Valuation and Bond'!$B$45*((E269-E268)/100)^2</f>
        <v>1.9791989969204886E-3</v>
      </c>
      <c r="L269" s="23">
        <f t="shared" si="31"/>
        <v>2.0009206623557541E-2</v>
      </c>
      <c r="M269" s="23">
        <f t="shared" si="32"/>
        <v>1.6648398587553227E-2</v>
      </c>
      <c r="N269" s="23">
        <f>SUMPRODUCT(H269:K269,Portfolio!$B$23:$E$23)</f>
        <v>1.6168229436233982E-2</v>
      </c>
      <c r="O269" s="23">
        <f>SUMPRODUCT(H269:K269,Portfolio!$B$24:$E$24)</f>
        <v>1.0732682193486887E-2</v>
      </c>
      <c r="Q269" s="21">
        <f t="shared" si="33"/>
        <v>174.47507056208627</v>
      </c>
      <c r="R269" s="21">
        <f t="shared" si="34"/>
        <v>219.38772650849992</v>
      </c>
      <c r="S269" s="22">
        <f>Q269/MAX(Q$6:Q269)-1</f>
        <v>-9.0491325531059097E-3</v>
      </c>
      <c r="T269" s="22">
        <f>R269/MAX(R$6:R269)-1</f>
        <v>0</v>
      </c>
    </row>
    <row r="270" spans="1:20" x14ac:dyDescent="0.2">
      <c r="A270" s="18">
        <v>44512</v>
      </c>
      <c r="B270" s="19">
        <v>339.06</v>
      </c>
      <c r="C270" s="19">
        <v>190.08</v>
      </c>
      <c r="D270" s="19">
        <v>56.61</v>
      </c>
      <c r="E270" s="19">
        <v>1.17</v>
      </c>
      <c r="F270" s="20">
        <v>4682.8500000000004</v>
      </c>
      <c r="H270" s="23">
        <f t="shared" si="28"/>
        <v>-2.4419665185795303E-3</v>
      </c>
      <c r="I270" s="23">
        <f t="shared" si="29"/>
        <v>-1.7166494312306102E-2</v>
      </c>
      <c r="J270" s="23">
        <f t="shared" si="30"/>
        <v>-4.0464461646728678E-3</v>
      </c>
      <c r="K270" s="23">
        <f>E269/100/Inputs!$B$17-'Valuation and Bond'!$B$44*(E270-E269)/100+0.5*'Valuation and Bond'!$B$45*((E270-E269)/100)^2</f>
        <v>-1.0926018324096973E-3</v>
      </c>
      <c r="L270" s="23">
        <f t="shared" si="31"/>
        <v>-3.1250465670255023E-3</v>
      </c>
      <c r="M270" s="23">
        <f t="shared" si="32"/>
        <v>-7.5726996338318338E-3</v>
      </c>
      <c r="N270" s="23">
        <f>SUMPRODUCT(H270:K270,Portfolio!$B$23:$E$23)</f>
        <v>-6.1868772069920497E-3</v>
      </c>
      <c r="O270" s="23">
        <f>SUMPRODUCT(H270:K270,Portfolio!$B$24:$E$24)</f>
        <v>-4.3951853801328083E-3</v>
      </c>
      <c r="Q270" s="21">
        <f t="shared" si="33"/>
        <v>173.15382325912799</v>
      </c>
      <c r="R270" s="21">
        <f t="shared" si="34"/>
        <v>218.70212964692701</v>
      </c>
      <c r="S270" s="22">
        <f>Q270/MAX(Q$6:Q270)-1</f>
        <v>-1.6553305824166253E-2</v>
      </c>
      <c r="T270" s="22">
        <f>R270/MAX(R$6:R270)-1</f>
        <v>-3.1250465670255023E-3</v>
      </c>
    </row>
    <row r="271" spans="1:20" x14ac:dyDescent="0.2">
      <c r="A271" s="18">
        <v>44519</v>
      </c>
      <c r="B271" s="19">
        <v>341.44</v>
      </c>
      <c r="C271" s="19">
        <v>195.16</v>
      </c>
      <c r="D271" s="19">
        <v>55.13</v>
      </c>
      <c r="E271" s="19">
        <v>1.24</v>
      </c>
      <c r="F271" s="20">
        <v>4697.96</v>
      </c>
      <c r="H271" s="23">
        <f t="shared" si="28"/>
        <v>7.0194065947029038E-3</v>
      </c>
      <c r="I271" s="23">
        <f t="shared" si="29"/>
        <v>2.6725589225589097E-2</v>
      </c>
      <c r="J271" s="23">
        <f t="shared" si="30"/>
        <v>-2.614379084967311E-2</v>
      </c>
      <c r="K271" s="23">
        <f>E270/100/Inputs!$B$17-'Valuation and Bond'!$B$44*(E271-E270)/100+0.5*'Valuation and Bond'!$B$45*((E271-E270)/100)^2</f>
        <v>-2.832776952684299E-3</v>
      </c>
      <c r="L271" s="23">
        <f t="shared" si="31"/>
        <v>3.2266675208472151E-3</v>
      </c>
      <c r="M271" s="23">
        <f t="shared" si="32"/>
        <v>3.5943101594100211E-4</v>
      </c>
      <c r="N271" s="23">
        <f>SUMPRODUCT(H271:K271,Portfolio!$B$23:$E$23)</f>
        <v>1.192107004483648E-3</v>
      </c>
      <c r="O271" s="23">
        <f>SUMPRODUCT(H271:K271,Portfolio!$B$24:$E$24)</f>
        <v>-5.544743218332801E-3</v>
      </c>
      <c r="Q271" s="21">
        <f t="shared" si="33"/>
        <v>173.21606011373606</v>
      </c>
      <c r="R271" s="21">
        <f t="shared" si="34"/>
        <v>219.40780870539885</v>
      </c>
      <c r="S271" s="22">
        <f>Q271/MAX(Q$6:Q271)-1</f>
        <v>-1.6199824579754996E-2</v>
      </c>
      <c r="T271" s="22">
        <f>R271/MAX(R$6:R271)-1</f>
        <v>0</v>
      </c>
    </row>
    <row r="272" spans="1:20" x14ac:dyDescent="0.2">
      <c r="A272" s="18">
        <v>44526</v>
      </c>
      <c r="B272" s="19">
        <v>342.72</v>
      </c>
      <c r="C272" s="19">
        <v>188.26</v>
      </c>
      <c r="D272" s="19">
        <v>53.73</v>
      </c>
      <c r="E272" s="19">
        <v>1.29</v>
      </c>
      <c r="F272" s="20">
        <v>4594.62</v>
      </c>
      <c r="H272" s="23">
        <f t="shared" si="28"/>
        <v>3.7488284910967007E-3</v>
      </c>
      <c r="I272" s="23">
        <f t="shared" si="29"/>
        <v>-3.5355605656896882E-2</v>
      </c>
      <c r="J272" s="23">
        <f t="shared" si="30"/>
        <v>-2.5394522038817424E-2</v>
      </c>
      <c r="K272" s="23">
        <f>E271/100/Inputs!$B$17-'Valuation and Bond'!$B$44*(E272-E271)/100+0.5*'Valuation and Bond'!$B$45*((E272-E271)/100)^2</f>
        <v>-1.9467954936260997E-3</v>
      </c>
      <c r="L272" s="23">
        <f t="shared" si="31"/>
        <v>-2.1996781581792968E-2</v>
      </c>
      <c r="M272" s="23">
        <f t="shared" si="32"/>
        <v>-2.013064037853176E-2</v>
      </c>
      <c r="N272" s="23">
        <f>SUMPRODUCT(H272:K272,Portfolio!$B$23:$E$23)</f>
        <v>-1.4737023674560926E-2</v>
      </c>
      <c r="O272" s="23">
        <f>SUMPRODUCT(H272:K272,Portfolio!$B$24:$E$24)</f>
        <v>-1.3577701008468682E-2</v>
      </c>
      <c r="Q272" s="21">
        <f t="shared" si="33"/>
        <v>169.72910989980031</v>
      </c>
      <c r="R272" s="21">
        <f t="shared" si="34"/>
        <v>214.58154305996638</v>
      </c>
      <c r="S272" s="22">
        <f>Q272/MAX(Q$6:Q272)-1</f>
        <v>-3.6004352115476368E-2</v>
      </c>
      <c r="T272" s="22">
        <f>R272/MAX(R$6:R272)-1</f>
        <v>-2.1996781581792968E-2</v>
      </c>
    </row>
    <row r="273" spans="1:20" x14ac:dyDescent="0.2">
      <c r="A273" s="18">
        <v>44533</v>
      </c>
      <c r="B273" s="19">
        <v>333.81</v>
      </c>
      <c r="C273" s="19">
        <v>193.38</v>
      </c>
      <c r="D273" s="19">
        <v>53.54</v>
      </c>
      <c r="E273" s="19">
        <v>1.1599999999999999</v>
      </c>
      <c r="F273" s="20">
        <v>4538.43</v>
      </c>
      <c r="H273" s="23">
        <f t="shared" si="28"/>
        <v>-2.5997899159663884E-2</v>
      </c>
      <c r="I273" s="23">
        <f t="shared" si="29"/>
        <v>2.7196430468501065E-2</v>
      </c>
      <c r="J273" s="23">
        <f t="shared" si="30"/>
        <v>-3.536199516098959E-3</v>
      </c>
      <c r="K273" s="23">
        <f>E272/100/Inputs!$B$17-'Valuation and Bond'!$B$44*(E273-E272)/100+0.5*'Valuation and Bond'!$B$45*((E273-E272)/100)^2</f>
        <v>5.9562021196322415E-3</v>
      </c>
      <c r="L273" s="23">
        <f t="shared" si="31"/>
        <v>-1.2229520613238898E-2</v>
      </c>
      <c r="M273" s="23">
        <f t="shared" si="32"/>
        <v>5.527873503192937E-3</v>
      </c>
      <c r="N273" s="23">
        <f>SUMPRODUCT(H273:K273,Portfolio!$B$23:$E$23)</f>
        <v>9.046334780926158E-4</v>
      </c>
      <c r="O273" s="23">
        <f>SUMPRODUCT(H273:K273,Portfolio!$B$24:$E$24)</f>
        <v>1.4344482640990456E-3</v>
      </c>
      <c r="Q273" s="21">
        <f t="shared" si="33"/>
        <v>170.66735094913594</v>
      </c>
      <c r="R273" s="21">
        <f t="shared" si="34"/>
        <v>211.9573136558939</v>
      </c>
      <c r="S273" s="22">
        <f>Q273/MAX(Q$6:Q273)-1</f>
        <v>-3.0675506116342177E-2</v>
      </c>
      <c r="T273" s="22">
        <f>R273/MAX(R$6:R273)-1</f>
        <v>-3.3957292101252423E-2</v>
      </c>
    </row>
    <row r="274" spans="1:20" x14ac:dyDescent="0.2">
      <c r="A274" s="18">
        <v>44540</v>
      </c>
      <c r="B274" s="19">
        <v>344.88</v>
      </c>
      <c r="C274" s="19">
        <v>196</v>
      </c>
      <c r="D274" s="19">
        <v>56.28</v>
      </c>
      <c r="E274" s="19">
        <v>1.25</v>
      </c>
      <c r="F274" s="20">
        <v>4712.0200000000004</v>
      </c>
      <c r="H274" s="23">
        <f t="shared" si="28"/>
        <v>3.3162577514154634E-2</v>
      </c>
      <c r="I274" s="23">
        <f t="shared" si="29"/>
        <v>1.3548453821491391E-2</v>
      </c>
      <c r="J274" s="23">
        <f t="shared" si="30"/>
        <v>5.1176690324990615E-2</v>
      </c>
      <c r="K274" s="23">
        <f>E273/100/Inputs!$B$17-'Valuation and Bond'!$B$44*(E274-E273)/100+0.5*'Valuation and Bond'!$B$45*((E274-E273)/100)^2</f>
        <v>-3.7063154403535244E-3</v>
      </c>
      <c r="L274" s="23">
        <f t="shared" si="31"/>
        <v>3.8248909865305825E-2</v>
      </c>
      <c r="M274" s="23">
        <f t="shared" si="32"/>
        <v>2.5395901178331275E-2</v>
      </c>
      <c r="N274" s="23">
        <f>SUMPRODUCT(H274:K274,Portfolio!$B$23:$E$23)</f>
        <v>2.354535155507078E-2</v>
      </c>
      <c r="O274" s="23">
        <f>SUMPRODUCT(H274:K274,Portfolio!$B$24:$E$24)</f>
        <v>2.1919490364472907E-2</v>
      </c>
      <c r="Q274" s="21">
        <f t="shared" si="33"/>
        <v>175.00160212820779</v>
      </c>
      <c r="R274" s="21">
        <f t="shared" si="34"/>
        <v>220.06444984121055</v>
      </c>
      <c r="S274" s="22">
        <f>Q274/MAX(Q$6:Q274)-1</f>
        <v>-6.0586370599367001E-3</v>
      </c>
      <c r="T274" s="22">
        <f>R274/MAX(R$6:R274)-1</f>
        <v>0</v>
      </c>
    </row>
    <row r="275" spans="1:20" x14ac:dyDescent="0.2">
      <c r="A275" s="18">
        <v>44547</v>
      </c>
      <c r="B275" s="19">
        <v>344.14</v>
      </c>
      <c r="C275" s="19">
        <v>186.3</v>
      </c>
      <c r="D275" s="19">
        <v>57.73</v>
      </c>
      <c r="E275" s="19">
        <v>1.21</v>
      </c>
      <c r="F275" s="20">
        <v>4620.6400000000003</v>
      </c>
      <c r="H275" s="23">
        <f t="shared" si="28"/>
        <v>-2.1456738575736933E-3</v>
      </c>
      <c r="I275" s="23">
        <f t="shared" si="29"/>
        <v>-4.948979591836733E-2</v>
      </c>
      <c r="J275" s="23">
        <f t="shared" si="30"/>
        <v>2.5764036958066727E-2</v>
      </c>
      <c r="K275" s="23">
        <f>E274/100/Inputs!$B$17-'Valuation and Bond'!$B$44*(E275-E274)/100+0.5*'Valuation and Bond'!$B$45*((E275-E274)/100)^2</f>
        <v>1.9926605353820272E-3</v>
      </c>
      <c r="L275" s="23">
        <f t="shared" si="31"/>
        <v>-1.9392956736176914E-2</v>
      </c>
      <c r="M275" s="23">
        <f t="shared" si="32"/>
        <v>-7.5220398587658062E-3</v>
      </c>
      <c r="N275" s="23">
        <f>SUMPRODUCT(H275:K275,Portfolio!$B$23:$E$23)</f>
        <v>-5.9696930706230672E-3</v>
      </c>
      <c r="O275" s="23">
        <f>SUMPRODUCT(H275:K275,Portfolio!$B$24:$E$24)</f>
        <v>2.6943171920169283E-3</v>
      </c>
      <c r="Q275" s="21">
        <f t="shared" si="33"/>
        <v>173.68523310165153</v>
      </c>
      <c r="R275" s="21">
        <f t="shared" si="34"/>
        <v>215.79674948626936</v>
      </c>
      <c r="S275" s="22">
        <f>Q275/MAX(Q$6:Q275)-1</f>
        <v>-1.3535103609247923E-2</v>
      </c>
      <c r="T275" s="22">
        <f>R275/MAX(R$6:R275)-1</f>
        <v>-1.9392956736177025E-2</v>
      </c>
    </row>
    <row r="276" spans="1:20" x14ac:dyDescent="0.2">
      <c r="A276" s="18">
        <v>44554</v>
      </c>
      <c r="B276" s="19">
        <v>347.02</v>
      </c>
      <c r="C276" s="19">
        <v>187.4</v>
      </c>
      <c r="D276" s="19">
        <v>58.22</v>
      </c>
      <c r="E276" s="19">
        <v>1.22</v>
      </c>
      <c r="F276" s="20">
        <v>4725.79</v>
      </c>
      <c r="H276" s="23">
        <f t="shared" si="28"/>
        <v>8.3686871622015158E-3</v>
      </c>
      <c r="I276" s="23">
        <f t="shared" si="29"/>
        <v>5.9044551798175249E-3</v>
      </c>
      <c r="J276" s="23">
        <f t="shared" si="30"/>
        <v>8.4877879785207888E-3</v>
      </c>
      <c r="K276" s="23">
        <f>E275/100/Inputs!$B$17-'Valuation and Bond'!$B$44*(E276-E275)/100+0.5*'Valuation and Bond'!$B$45*((E276-E275)/100)^2</f>
        <v>-2.0481135365047566E-4</v>
      </c>
      <c r="L276" s="23">
        <f t="shared" si="31"/>
        <v>2.2756587831988639E-2</v>
      </c>
      <c r="M276" s="23">
        <f t="shared" si="32"/>
        <v>5.8809874303521557E-3</v>
      </c>
      <c r="N276" s="23">
        <f>SUMPRODUCT(H276:K276,Portfolio!$B$23:$E$23)</f>
        <v>5.6390297417223383E-3</v>
      </c>
      <c r="O276" s="23">
        <f>SUMPRODUCT(H276:K276,Portfolio!$B$24:$E$24)</f>
        <v>4.6533628878804162E-3</v>
      </c>
      <c r="Q276" s="21">
        <f t="shared" si="33"/>
        <v>174.70667377436015</v>
      </c>
      <c r="R276" s="21">
        <f t="shared" si="34"/>
        <v>220.70754716981131</v>
      </c>
      <c r="S276" s="22">
        <f>Q276/MAX(Q$6:Q276)-1</f>
        <v>-7.7337159530901367E-3</v>
      </c>
      <c r="T276" s="22">
        <f>R276/MAX(R$6:R276)-1</f>
        <v>0</v>
      </c>
    </row>
    <row r="277" spans="1:20" x14ac:dyDescent="0.2">
      <c r="A277" s="18">
        <v>44561</v>
      </c>
      <c r="B277" s="19">
        <v>355.41</v>
      </c>
      <c r="C277" s="19">
        <v>188.47</v>
      </c>
      <c r="D277" s="19">
        <v>59.21</v>
      </c>
      <c r="E277" s="19">
        <v>1.27</v>
      </c>
      <c r="F277" s="20">
        <v>4766.18</v>
      </c>
      <c r="H277" s="23">
        <f t="shared" si="28"/>
        <v>2.4177280848366234E-2</v>
      </c>
      <c r="I277" s="23">
        <f t="shared" si="29"/>
        <v>5.7097118463180774E-3</v>
      </c>
      <c r="J277" s="23">
        <f t="shared" si="30"/>
        <v>1.7004465819306036E-2</v>
      </c>
      <c r="K277" s="23">
        <f>E276/100/Inputs!$B$17-'Valuation and Bond'!$B$44*(E277-E276)/100+0.5*'Valuation and Bond'!$B$45*((E277-E276)/100)^2</f>
        <v>-1.9506416474722535E-3</v>
      </c>
      <c r="L277" s="23">
        <f t="shared" si="31"/>
        <v>8.5467191728791914E-3</v>
      </c>
      <c r="M277" s="23">
        <f t="shared" si="32"/>
        <v>1.043657350621483E-2</v>
      </c>
      <c r="N277" s="23">
        <f>SUMPRODUCT(H277:K277,Portfolio!$B$23:$E$23)</f>
        <v>1.1235204216629524E-2</v>
      </c>
      <c r="O277" s="23">
        <f>SUMPRODUCT(H277:K277,Portfolio!$B$24:$E$24)</f>
        <v>8.8515732638169732E-3</v>
      </c>
      <c r="Q277" s="21">
        <f t="shared" si="33"/>
        <v>176.53001281723257</v>
      </c>
      <c r="R277" s="21">
        <f t="shared" si="34"/>
        <v>222.59387259480667</v>
      </c>
      <c r="S277" s="22">
        <f>Q277/MAX(Q$6:Q277)-1</f>
        <v>0</v>
      </c>
      <c r="T277" s="22">
        <f>R277/MAX(R$6:R277)-1</f>
        <v>0</v>
      </c>
    </row>
    <row r="278" spans="1:20" x14ac:dyDescent="0.2">
      <c r="A278" s="18">
        <v>44568</v>
      </c>
      <c r="B278" s="19">
        <v>360.14</v>
      </c>
      <c r="C278" s="19">
        <v>179.44</v>
      </c>
      <c r="D278" s="19">
        <v>60.33</v>
      </c>
      <c r="E278" s="19">
        <v>1.43</v>
      </c>
      <c r="F278" s="20">
        <v>4677.03</v>
      </c>
      <c r="H278" s="23">
        <f t="shared" si="28"/>
        <v>1.3308573197152507E-2</v>
      </c>
      <c r="I278" s="23">
        <f t="shared" si="29"/>
        <v>-4.7912134557223984E-2</v>
      </c>
      <c r="J278" s="23">
        <f t="shared" si="30"/>
        <v>1.8915723695321685E-2</v>
      </c>
      <c r="K278" s="23">
        <f>E277/100/Inputs!$B$17-'Valuation and Bond'!$B$44*(E278-E277)/100+0.5*'Valuation and Bond'!$B$45*((E278-E277)/100)^2</f>
        <v>-6.7286925167384139E-3</v>
      </c>
      <c r="L278" s="23">
        <f t="shared" si="31"/>
        <v>-1.8704706914132618E-2</v>
      </c>
      <c r="M278" s="23">
        <f t="shared" si="32"/>
        <v>-9.0093002114378234E-3</v>
      </c>
      <c r="N278" s="23">
        <f>SUMPRODUCT(H278:K278,Portfolio!$B$23:$E$23)</f>
        <v>-5.6041325453720517E-3</v>
      </c>
      <c r="O278" s="23">
        <f>SUMPRODUCT(H278:K278,Portfolio!$B$24:$E$24)</f>
        <v>-9.1281292135340832E-4</v>
      </c>
      <c r="Q278" s="21">
        <f t="shared" si="33"/>
        <v>174.93960093543316</v>
      </c>
      <c r="R278" s="21">
        <f t="shared" si="34"/>
        <v>218.43031944703904</v>
      </c>
      <c r="S278" s="22">
        <f>Q278/MAX(Q$6:Q278)-1</f>
        <v>-9.0093002114377541E-3</v>
      </c>
      <c r="T278" s="22">
        <f>R278/MAX(R$6:R278)-1</f>
        <v>-1.8704706914132618E-2</v>
      </c>
    </row>
    <row r="279" spans="1:20" x14ac:dyDescent="0.2">
      <c r="A279" s="18">
        <v>44575</v>
      </c>
      <c r="B279" s="19">
        <v>372.62</v>
      </c>
      <c r="C279" s="19">
        <v>187.01</v>
      </c>
      <c r="D279" s="19">
        <v>61.39</v>
      </c>
      <c r="E279" s="19">
        <v>1.51</v>
      </c>
      <c r="F279" s="20">
        <v>4662.8500000000004</v>
      </c>
      <c r="H279" s="23">
        <f t="shared" si="28"/>
        <v>3.4653190425945501E-2</v>
      </c>
      <c r="I279" s="23">
        <f t="shared" si="29"/>
        <v>4.2186803388319261E-2</v>
      </c>
      <c r="J279" s="23">
        <f t="shared" si="30"/>
        <v>1.757003149345282E-2</v>
      </c>
      <c r="K279" s="23">
        <f>E278/100/Inputs!$B$17-'Valuation and Bond'!$B$44*(E279-E278)/100+0.5*'Valuation and Bond'!$B$45*((E279-E278)/100)^2</f>
        <v>-3.2186977217886869E-3</v>
      </c>
      <c r="L279" s="23">
        <f t="shared" si="31"/>
        <v>-3.0318385813217219E-3</v>
      </c>
      <c r="M279" s="23">
        <f t="shared" si="32"/>
        <v>2.3799338934265724E-2</v>
      </c>
      <c r="N279" s="23">
        <f>SUMPRODUCT(H279:K279,Portfolio!$B$23:$E$23)</f>
        <v>2.2797831896482223E-2</v>
      </c>
      <c r="O279" s="23">
        <f>SUMPRODUCT(H279:K279,Portfolio!$B$24:$E$24)</f>
        <v>1.471581959263484E-2</v>
      </c>
      <c r="Q279" s="21">
        <f t="shared" si="33"/>
        <v>179.1030477911207</v>
      </c>
      <c r="R279" s="21">
        <f t="shared" si="34"/>
        <v>217.76807397720907</v>
      </c>
      <c r="S279" s="22">
        <f>Q279/MAX(Q$6:Q279)-1</f>
        <v>0</v>
      </c>
      <c r="T279" s="22">
        <f>R279/MAX(R$6:R279)-1</f>
        <v>-2.1679835843379736E-2</v>
      </c>
    </row>
    <row r="280" spans="1:20" x14ac:dyDescent="0.2">
      <c r="A280" s="18">
        <v>44582</v>
      </c>
      <c r="B280" s="19">
        <v>371.2</v>
      </c>
      <c r="C280" s="19">
        <v>175.64</v>
      </c>
      <c r="D280" s="19">
        <v>60.45</v>
      </c>
      <c r="E280" s="19">
        <v>1.61</v>
      </c>
      <c r="F280" s="20">
        <v>4397.9399999999996</v>
      </c>
      <c r="H280" s="23">
        <f t="shared" si="28"/>
        <v>-3.81085287960925E-3</v>
      </c>
      <c r="I280" s="23">
        <f t="shared" si="29"/>
        <v>-6.0798887760012854E-2</v>
      </c>
      <c r="J280" s="23">
        <f t="shared" si="30"/>
        <v>-1.531194005538361E-2</v>
      </c>
      <c r="K280" s="23">
        <f>E279/100/Inputs!$B$17-'Valuation and Bond'!$B$44*(E280-E279)/100+0.5*'Valuation and Bond'!$B$45*((E280-E279)/100)^2</f>
        <v>-4.0744762622249653E-3</v>
      </c>
      <c r="L280" s="23">
        <f t="shared" si="31"/>
        <v>-5.6812893402104048E-2</v>
      </c>
      <c r="M280" s="23">
        <f t="shared" si="32"/>
        <v>-2.655124598848943E-2</v>
      </c>
      <c r="N280" s="23">
        <f>SUMPRODUCT(H280:K280,Portfolio!$B$23:$E$23)</f>
        <v>-2.0999039239307671E-2</v>
      </c>
      <c r="O280" s="23">
        <f>SUMPRODUCT(H280:K280,Portfolio!$B$24:$E$24)</f>
        <v>-1.5356936277255748E-2</v>
      </c>
      <c r="Q280" s="21">
        <f t="shared" si="33"/>
        <v>174.34763871193047</v>
      </c>
      <c r="R280" s="21">
        <f t="shared" si="34"/>
        <v>205.39603960396039</v>
      </c>
      <c r="S280" s="22">
        <f>Q280/MAX(Q$6:Q280)-1</f>
        <v>-2.6551245988489458E-2</v>
      </c>
      <c r="T280" s="22">
        <f>R280/MAX(R$6:R280)-1</f>
        <v>-7.7261035042738735E-2</v>
      </c>
    </row>
    <row r="281" spans="1:20" x14ac:dyDescent="0.2">
      <c r="A281" s="18">
        <v>44589</v>
      </c>
      <c r="B281" s="19">
        <v>393.15</v>
      </c>
      <c r="C281" s="19">
        <v>177.29</v>
      </c>
      <c r="D281" s="19">
        <v>60.84</v>
      </c>
      <c r="E281" s="19">
        <v>1.6</v>
      </c>
      <c r="F281" s="20">
        <v>4431.8500000000004</v>
      </c>
      <c r="H281" s="23">
        <f t="shared" si="28"/>
        <v>5.9132543103448176E-2</v>
      </c>
      <c r="I281" s="23">
        <f t="shared" si="29"/>
        <v>9.3942154406740919E-3</v>
      </c>
      <c r="J281" s="23">
        <f t="shared" si="30"/>
        <v>6.4516129032257119E-3</v>
      </c>
      <c r="K281" s="23">
        <f>E280/100/Inputs!$B$17-'Valuation and Bond'!$B$44*(E281-E280)/100+0.5*'Valuation and Bond'!$B$45*((E281-E280)/100)^2</f>
        <v>7.473451734207958E-4</v>
      </c>
      <c r="L281" s="23">
        <f t="shared" si="31"/>
        <v>7.7104280640483136E-3</v>
      </c>
      <c r="M281" s="23">
        <f t="shared" si="32"/>
        <v>1.3262041446152171E-2</v>
      </c>
      <c r="N281" s="23">
        <f>SUMPRODUCT(H281:K281,Portfolio!$B$23:$E$23)</f>
        <v>1.8931429155192196E-2</v>
      </c>
      <c r="O281" s="23">
        <f>SUMPRODUCT(H281:K281,Portfolio!$B$24:$E$24)</f>
        <v>1.1350078290070585E-2</v>
      </c>
      <c r="Q281" s="21">
        <f t="shared" si="33"/>
        <v>176.65984432256687</v>
      </c>
      <c r="R281" s="21">
        <f t="shared" si="34"/>
        <v>206.97973099196713</v>
      </c>
      <c r="S281" s="22">
        <f>Q281/MAX(Q$6:Q281)-1</f>
        <v>-1.364132826708353E-2</v>
      </c>
      <c r="T281" s="22">
        <f>R281/MAX(R$6:R281)-1</f>
        <v>-7.0146322631541413E-2</v>
      </c>
    </row>
    <row r="282" spans="1:20" x14ac:dyDescent="0.2">
      <c r="A282" s="18">
        <v>44596</v>
      </c>
      <c r="B282" s="19">
        <v>389.33</v>
      </c>
      <c r="C282" s="19">
        <v>171.42</v>
      </c>
      <c r="D282" s="19">
        <v>60.96</v>
      </c>
      <c r="E282" s="19">
        <v>1.66</v>
      </c>
      <c r="F282" s="20">
        <v>4500.53</v>
      </c>
      <c r="H282" s="23">
        <f t="shared" si="28"/>
        <v>-9.7163932341345349E-3</v>
      </c>
      <c r="I282" s="23">
        <f t="shared" si="29"/>
        <v>-3.3109594449771573E-2</v>
      </c>
      <c r="J282" s="23">
        <f t="shared" si="30"/>
        <v>1.9723865877712132E-3</v>
      </c>
      <c r="K282" s="23">
        <f>E281/100/Inputs!$B$17-'Valuation and Bond'!$B$44*(E282-E281)/100+0.5*'Valuation and Bond'!$B$45*((E282-E281)/100)^2</f>
        <v>-2.3139377484249651E-3</v>
      </c>
      <c r="L282" s="23">
        <f t="shared" si="31"/>
        <v>1.5496914381127436E-2</v>
      </c>
      <c r="M282" s="23">
        <f t="shared" si="32"/>
        <v>-1.2010695348259654E-2</v>
      </c>
      <c r="N282" s="23">
        <f>SUMPRODUCT(H282:K282,Portfolio!$B$23:$E$23)</f>
        <v>-1.0791884711139964E-2</v>
      </c>
      <c r="O282" s="23">
        <f>SUMPRODUCT(H282:K282,Portfolio!$B$24:$E$24)</f>
        <v>-5.8936811551215731E-3</v>
      </c>
      <c r="Q282" s="21">
        <f t="shared" si="33"/>
        <v>174.53803675213754</v>
      </c>
      <c r="R282" s="21">
        <f t="shared" si="34"/>
        <v>210.18727816177844</v>
      </c>
      <c r="S282" s="22">
        <f>Q282/MAX(Q$6:Q282)-1</f>
        <v>-2.5488181777381658E-2</v>
      </c>
      <c r="T282" s="22">
        <f>R282/MAX(R$6:R282)-1</f>
        <v>-5.5736459806385974E-2</v>
      </c>
    </row>
    <row r="283" spans="1:20" x14ac:dyDescent="0.2">
      <c r="A283" s="18">
        <v>44603</v>
      </c>
      <c r="B283" s="19">
        <v>396.19</v>
      </c>
      <c r="C283" s="19">
        <v>164.4</v>
      </c>
      <c r="D283" s="19">
        <v>60.29</v>
      </c>
      <c r="E283" s="19">
        <v>1.84</v>
      </c>
      <c r="F283" s="20">
        <v>4418.6400000000003</v>
      </c>
      <c r="H283" s="23">
        <f t="shared" si="28"/>
        <v>1.7620013869981799E-2</v>
      </c>
      <c r="I283" s="23">
        <f t="shared" si="29"/>
        <v>-4.0952047602380026E-2</v>
      </c>
      <c r="J283" s="23">
        <f t="shared" si="30"/>
        <v>-1.0990813648294018E-2</v>
      </c>
      <c r="K283" s="23">
        <f>E282/100/Inputs!$B$17-'Valuation and Bond'!$B$44*(E283-E282)/100+0.5*'Valuation and Bond'!$B$45*((E283-E282)/100)^2</f>
        <v>-7.5212376331572697E-3</v>
      </c>
      <c r="L283" s="23">
        <f t="shared" si="31"/>
        <v>-1.8195634736353106E-2</v>
      </c>
      <c r="M283" s="23">
        <f t="shared" si="32"/>
        <v>-1.6393171003943507E-2</v>
      </c>
      <c r="N283" s="23">
        <f>SUMPRODUCT(H283:K283,Portfolio!$B$23:$E$23)</f>
        <v>-1.0461021253462379E-2</v>
      </c>
      <c r="O283" s="23">
        <f>SUMPRODUCT(H283:K283,Portfolio!$B$24:$E$24)</f>
        <v>-9.8819149506545537E-3</v>
      </c>
      <c r="Q283" s="21">
        <f t="shared" si="33"/>
        <v>171.67680486896717</v>
      </c>
      <c r="R283" s="21">
        <f t="shared" si="34"/>
        <v>206.36278722211847</v>
      </c>
      <c r="S283" s="22">
        <f>Q283/MAX(Q$6:Q283)-1</f>
        <v>-4.1463520658869046E-2</v>
      </c>
      <c r="T283" s="22">
        <f>R283/MAX(R$6:R283)-1</f>
        <v>-7.2917934278604601E-2</v>
      </c>
    </row>
    <row r="284" spans="1:20" x14ac:dyDescent="0.2">
      <c r="A284" s="18">
        <v>44610</v>
      </c>
      <c r="B284" s="19">
        <v>386.46</v>
      </c>
      <c r="C284" s="19">
        <v>166.74</v>
      </c>
      <c r="D284" s="19">
        <v>62.54</v>
      </c>
      <c r="E284" s="19">
        <v>1.88</v>
      </c>
      <c r="F284" s="20">
        <v>4348.87</v>
      </c>
      <c r="H284" s="23">
        <f t="shared" si="28"/>
        <v>-2.4558923748706496E-2</v>
      </c>
      <c r="I284" s="23">
        <f t="shared" si="29"/>
        <v>1.4233576642335821E-2</v>
      </c>
      <c r="J284" s="23">
        <f t="shared" si="30"/>
        <v>3.7319621827832217E-2</v>
      </c>
      <c r="K284" s="23">
        <f>E283/100/Inputs!$B$17-'Valuation and Bond'!$B$44*(E284-E283)/100+0.5*'Valuation and Bond'!$B$45*((E284-E283)/100)^2</f>
        <v>-1.3948117267492028E-3</v>
      </c>
      <c r="L284" s="23">
        <f t="shared" si="31"/>
        <v>-1.5789926312168578E-2</v>
      </c>
      <c r="M284" s="23">
        <f t="shared" si="32"/>
        <v>1.3759432916810742E-2</v>
      </c>
      <c r="N284" s="23">
        <f>SUMPRODUCT(H284:K284,Portfolio!$B$23:$E$23)</f>
        <v>6.399865748678085E-3</v>
      </c>
      <c r="O284" s="23">
        <f>SUMPRODUCT(H284:K284,Portfolio!$B$24:$E$24)</f>
        <v>1.0801111498624085E-2</v>
      </c>
      <c r="Q284" s="21">
        <f t="shared" si="33"/>
        <v>174.03898034893413</v>
      </c>
      <c r="R284" s="21">
        <f t="shared" si="34"/>
        <v>203.1043340183075</v>
      </c>
      <c r="S284" s="22">
        <f>Q284/MAX(Q$6:Q284)-1</f>
        <v>-2.827460227305878E-2</v>
      </c>
      <c r="T284" s="22">
        <f>R284/MAX(R$6:R284)-1</f>
        <v>-8.7556491781678458E-2</v>
      </c>
    </row>
    <row r="285" spans="1:20" x14ac:dyDescent="0.2">
      <c r="A285" s="18">
        <v>44617</v>
      </c>
      <c r="B285" s="19">
        <v>409.49</v>
      </c>
      <c r="C285" s="19">
        <v>170.82</v>
      </c>
      <c r="D285" s="19">
        <v>62.85</v>
      </c>
      <c r="E285" s="19">
        <v>1.86</v>
      </c>
      <c r="F285" s="20">
        <v>4384.6499999999996</v>
      </c>
      <c r="H285" s="23">
        <f t="shared" si="28"/>
        <v>5.9592195828805039E-2</v>
      </c>
      <c r="I285" s="23">
        <f t="shared" si="29"/>
        <v>2.4469233537243618E-2</v>
      </c>
      <c r="J285" s="23">
        <f t="shared" si="30"/>
        <v>4.9568276303166847E-3</v>
      </c>
      <c r="K285" s="23">
        <f>E284/100/Inputs!$B$17-'Valuation and Bond'!$B$44*(E285-E284)/100+0.5*'Valuation and Bond'!$B$45*((E285-E284)/100)^2</f>
        <v>1.2372241666119021E-3</v>
      </c>
      <c r="L285" s="23">
        <f t="shared" si="31"/>
        <v>8.2274245953546377E-3</v>
      </c>
      <c r="M285" s="23">
        <f t="shared" si="32"/>
        <v>1.7891187173161318E-2</v>
      </c>
      <c r="N285" s="23">
        <f>SUMPRODUCT(H285:K285,Portfolio!$B$23:$E$23)</f>
        <v>2.256387029074431E-2</v>
      </c>
      <c r="O285" s="23">
        <f>SUMPRODUCT(H285:K285,Portfolio!$B$24:$E$24)</f>
        <v>1.3094927747697046E-2</v>
      </c>
      <c r="Q285" s="21">
        <f t="shared" si="33"/>
        <v>177.15274432178305</v>
      </c>
      <c r="R285" s="21">
        <f t="shared" si="34"/>
        <v>204.77535961143283</v>
      </c>
      <c r="S285" s="22">
        <f>Q285/MAX(Q$6:Q285)-1</f>
        <v>-1.0889281301411424E-2</v>
      </c>
      <c r="T285" s="22">
        <f>R285/MAX(R$6:R285)-1</f>
        <v>-8.0049431620291434E-2</v>
      </c>
    </row>
    <row r="286" spans="1:20" x14ac:dyDescent="0.2">
      <c r="A286" s="18">
        <v>44624</v>
      </c>
      <c r="B286" s="19">
        <v>458.15</v>
      </c>
      <c r="C286" s="19">
        <v>169.98</v>
      </c>
      <c r="D286" s="19">
        <v>62.57</v>
      </c>
      <c r="E286" s="19">
        <v>1.68</v>
      </c>
      <c r="F286" s="20">
        <v>4328.87</v>
      </c>
      <c r="H286" s="23">
        <f t="shared" si="28"/>
        <v>0.11883074067742805</v>
      </c>
      <c r="I286" s="23">
        <f t="shared" si="29"/>
        <v>-4.9174569722515438E-3</v>
      </c>
      <c r="J286" s="23">
        <f t="shared" si="30"/>
        <v>-4.4550517104217091E-3</v>
      </c>
      <c r="K286" s="23">
        <f>E285/100/Inputs!$B$17-'Valuation and Bond'!$B$44*(E286-E285)/100+0.5*'Valuation and Bond'!$B$45*((E286-E285)/100)^2</f>
        <v>8.2714260079717692E-3</v>
      </c>
      <c r="L286" s="23">
        <f t="shared" si="31"/>
        <v>-1.2721653951854761E-2</v>
      </c>
      <c r="M286" s="23">
        <f t="shared" si="32"/>
        <v>1.4273017588243234E-2</v>
      </c>
      <c r="N286" s="23">
        <f>SUMPRODUCT(H286:K286,Portfolio!$B$23:$E$23)</f>
        <v>2.9432414500681642E-2</v>
      </c>
      <c r="O286" s="23">
        <f>SUMPRODUCT(H286:K286,Portfolio!$B$24:$E$24)</f>
        <v>1.6465855559063245E-2</v>
      </c>
      <c r="Q286" s="21">
        <f t="shared" si="33"/>
        <v>179.68124855729343</v>
      </c>
      <c r="R286" s="21">
        <f t="shared" si="34"/>
        <v>202.17027834858956</v>
      </c>
      <c r="S286" s="22">
        <f>Q286/MAX(Q$6:Q286)-1</f>
        <v>0</v>
      </c>
      <c r="T286" s="22">
        <f>R286/MAX(R$6:R286)-1</f>
        <v>-9.175272440403015E-2</v>
      </c>
    </row>
    <row r="287" spans="1:20" x14ac:dyDescent="0.2">
      <c r="A287" s="18">
        <v>44631</v>
      </c>
      <c r="B287" s="19">
        <v>439.04</v>
      </c>
      <c r="C287" s="19">
        <v>170.36</v>
      </c>
      <c r="D287" s="19">
        <v>57.92</v>
      </c>
      <c r="E287" s="19">
        <v>1.85</v>
      </c>
      <c r="F287" s="20">
        <v>4204.3100000000004</v>
      </c>
      <c r="H287" s="23">
        <f t="shared" si="28"/>
        <v>-4.1711229946523987E-2</v>
      </c>
      <c r="I287" s="23">
        <f t="shared" si="29"/>
        <v>2.2355571243677375E-3</v>
      </c>
      <c r="J287" s="23">
        <f t="shared" si="30"/>
        <v>-7.4316765222950276E-2</v>
      </c>
      <c r="K287" s="23">
        <f>E286/100/Inputs!$B$17-'Valuation and Bond'!$B$44*(E287-E286)/100+0.5*'Valuation and Bond'!$B$45*((E287-E286)/100)^2</f>
        <v>-7.083731984833007E-3</v>
      </c>
      <c r="L287" s="23">
        <f t="shared" si="31"/>
        <v>-2.8774252865066297E-2</v>
      </c>
      <c r="M287" s="23">
        <f t="shared" si="32"/>
        <v>-3.1287658776585396E-2</v>
      </c>
      <c r="N287" s="23">
        <f>SUMPRODUCT(H287:K287,Portfolio!$B$23:$E$23)</f>
        <v>-3.0219042507484882E-2</v>
      </c>
      <c r="O287" s="23">
        <f>SUMPRODUCT(H287:K287,Portfolio!$B$24:$E$24)</f>
        <v>-3.3085170951787118E-2</v>
      </c>
      <c r="Q287" s="21">
        <f t="shared" si="33"/>
        <v>174.05944296388202</v>
      </c>
      <c r="R287" s="21">
        <f t="shared" si="34"/>
        <v>196.3529796375864</v>
      </c>
      <c r="S287" s="22">
        <f>Q287/MAX(Q$6:Q287)-1</f>
        <v>-3.1287658776585348E-2</v>
      </c>
      <c r="T287" s="22">
        <f>R287/MAX(R$6:R287)-1</f>
        <v>-0.1178868611760362</v>
      </c>
    </row>
    <row r="288" spans="1:20" x14ac:dyDescent="0.2">
      <c r="A288" s="18">
        <v>44638</v>
      </c>
      <c r="B288" s="19">
        <v>426.18</v>
      </c>
      <c r="C288" s="19">
        <v>180.1</v>
      </c>
      <c r="D288" s="19">
        <v>60.1</v>
      </c>
      <c r="E288" s="19">
        <v>2.14</v>
      </c>
      <c r="F288" s="20">
        <v>4463.12</v>
      </c>
      <c r="H288" s="23">
        <f t="shared" si="28"/>
        <v>-2.929118075801751E-2</v>
      </c>
      <c r="I288" s="23">
        <f t="shared" si="29"/>
        <v>5.7173045315801696E-2</v>
      </c>
      <c r="J288" s="23">
        <f t="shared" si="30"/>
        <v>3.7638121546961223E-2</v>
      </c>
      <c r="K288" s="23">
        <f>E287/100/Inputs!$B$17-'Valuation and Bond'!$B$44*(E288-E287)/100+0.5*'Valuation and Bond'!$B$45*((E288-E287)/100)^2</f>
        <v>-1.2240029198344573E-2</v>
      </c>
      <c r="L288" s="23">
        <f t="shared" si="31"/>
        <v>6.1558258073262762E-2</v>
      </c>
      <c r="M288" s="23">
        <f t="shared" si="32"/>
        <v>2.5240883686207739E-2</v>
      </c>
      <c r="N288" s="23">
        <f>SUMPRODUCT(H288:K288,Portfolio!$B$23:$E$23)</f>
        <v>1.3319989226600208E-2</v>
      </c>
      <c r="O288" s="23">
        <f>SUMPRODUCT(H288:K288,Portfolio!$B$24:$E$24)</f>
        <v>1.1646098088721626E-2</v>
      </c>
      <c r="Q288" s="21">
        <f t="shared" si="33"/>
        <v>178.45285711821947</v>
      </c>
      <c r="R288" s="21">
        <f t="shared" si="34"/>
        <v>208.44012703157105</v>
      </c>
      <c r="S288" s="22">
        <f>Q288/MAX(Q$6:Q288)-1</f>
        <v>-6.836503246371195E-3</v>
      </c>
      <c r="T288" s="22">
        <f>R288/MAX(R$6:R288)-1</f>
        <v>-6.3585512926494836E-2</v>
      </c>
    </row>
    <row r="289" spans="1:20" x14ac:dyDescent="0.2">
      <c r="A289" s="18">
        <v>44645</v>
      </c>
      <c r="B289" s="19">
        <v>453.66</v>
      </c>
      <c r="C289" s="19">
        <v>184.9</v>
      </c>
      <c r="D289" s="19">
        <v>61.53</v>
      </c>
      <c r="E289" s="19">
        <v>2.4</v>
      </c>
      <c r="F289" s="20">
        <v>4543.0600000000004</v>
      </c>
      <c r="H289" s="23">
        <f t="shared" si="28"/>
        <v>6.4479797268759631E-2</v>
      </c>
      <c r="I289" s="23">
        <f t="shared" si="29"/>
        <v>2.6651860077734568E-2</v>
      </c>
      <c r="J289" s="23">
        <f t="shared" si="30"/>
        <v>2.379367720465897E-2</v>
      </c>
      <c r="K289" s="23">
        <f>E288/100/Inputs!$B$17-'Valuation and Bond'!$B$44*(E289-E288)/100+0.5*'Valuation and Bond'!$B$45*((E289-E288)/100)^2</f>
        <v>-1.0890065308019838E-2</v>
      </c>
      <c r="L289" s="23">
        <f t="shared" si="31"/>
        <v>1.7911236982200984E-2</v>
      </c>
      <c r="M289" s="23">
        <f t="shared" si="32"/>
        <v>2.3191039958731497E-2</v>
      </c>
      <c r="N289" s="23">
        <f>SUMPRODUCT(H289:K289,Portfolio!$B$23:$E$23)</f>
        <v>2.6008817310783333E-2</v>
      </c>
      <c r="O289" s="23">
        <f>SUMPRODUCT(H289:K289,Portfolio!$B$24:$E$24)</f>
        <v>1.5543044488245228E-2</v>
      </c>
      <c r="Q289" s="21">
        <f t="shared" si="33"/>
        <v>182.59136445839789</v>
      </c>
      <c r="R289" s="21">
        <f t="shared" si="34"/>
        <v>212.17354754343359</v>
      </c>
      <c r="S289" s="22">
        <f>Q289/MAX(Q$6:Q289)-1</f>
        <v>0</v>
      </c>
      <c r="T289" s="22">
        <f>R289/MAX(R$6:R289)-1</f>
        <v>-4.6813171134955089E-2</v>
      </c>
    </row>
    <row r="290" spans="1:20" x14ac:dyDescent="0.2">
      <c r="A290" s="18">
        <v>44652</v>
      </c>
      <c r="B290" s="19">
        <v>445.98</v>
      </c>
      <c r="C290" s="19">
        <v>182.08</v>
      </c>
      <c r="D290" s="19">
        <v>62.87</v>
      </c>
      <c r="E290" s="19">
        <v>2.4900000000000002</v>
      </c>
      <c r="F290" s="20">
        <v>4545.8599999999997</v>
      </c>
      <c r="H290" s="23">
        <f t="shared" si="28"/>
        <v>-1.6928977648459242E-2</v>
      </c>
      <c r="I290" s="23">
        <f t="shared" si="29"/>
        <v>-1.5251487290427246E-2</v>
      </c>
      <c r="J290" s="23">
        <f t="shared" si="30"/>
        <v>2.1777994474240225E-2</v>
      </c>
      <c r="K290" s="23">
        <f>E289/100/Inputs!$B$17-'Valuation and Bond'!$B$44*(E290-E289)/100+0.5*'Valuation and Bond'!$B$45*((E290-E289)/100)^2</f>
        <v>-3.4678539018919955E-3</v>
      </c>
      <c r="L290" s="23">
        <f t="shared" si="31"/>
        <v>6.1632467984118477E-4</v>
      </c>
      <c r="M290" s="23">
        <f t="shared" si="32"/>
        <v>-6.1957798958416337E-4</v>
      </c>
      <c r="N290" s="23">
        <f>SUMPRODUCT(H290:K290,Portfolio!$B$23:$E$23)</f>
        <v>-3.4675810916345645E-3</v>
      </c>
      <c r="O290" s="23">
        <f>SUMPRODUCT(H290:K290,Portfolio!$B$24:$E$24)</f>
        <v>1.7876230315294027E-3</v>
      </c>
      <c r="Q290" s="21">
        <f t="shared" si="33"/>
        <v>182.47823486789133</v>
      </c>
      <c r="R290" s="21">
        <f t="shared" si="34"/>
        <v>212.30431533719405</v>
      </c>
      <c r="S290" s="22">
        <f>Q290/MAX(Q$6:Q290)-1</f>
        <v>-6.1957798958411914E-4</v>
      </c>
      <c r="T290" s="22">
        <f>R290/MAX(R$6:R290)-1</f>
        <v>-4.6225698567826101E-2</v>
      </c>
    </row>
    <row r="291" spans="1:20" x14ac:dyDescent="0.2">
      <c r="A291" s="18">
        <v>44659</v>
      </c>
      <c r="B291" s="19">
        <v>461.52</v>
      </c>
      <c r="C291" s="19">
        <v>174.11</v>
      </c>
      <c r="D291" s="19">
        <v>63.83</v>
      </c>
      <c r="E291" s="19">
        <v>2.68</v>
      </c>
      <c r="F291" s="20">
        <v>4488.28</v>
      </c>
      <c r="H291" s="23">
        <f t="shared" si="28"/>
        <v>3.484461186600285E-2</v>
      </c>
      <c r="I291" s="23">
        <f t="shared" si="29"/>
        <v>-4.3771968365553637E-2</v>
      </c>
      <c r="J291" s="23">
        <f t="shared" si="30"/>
        <v>1.5269603944647603E-2</v>
      </c>
      <c r="K291" s="23">
        <f>E290/100/Inputs!$B$17-'Valuation and Bond'!$B$44*(E291-E290)/100+0.5*'Valuation and Bond'!$B$45*((E291-E290)/100)^2</f>
        <v>-7.7950556155573581E-3</v>
      </c>
      <c r="L291" s="23">
        <f t="shared" si="31"/>
        <v>-1.266647015086253E-2</v>
      </c>
      <c r="M291" s="23">
        <f t="shared" si="32"/>
        <v>-6.2333582801802293E-3</v>
      </c>
      <c r="N291" s="23">
        <f>SUMPRODUCT(H291:K291,Portfolio!$B$23:$E$23)</f>
        <v>-3.6320204261513556E-4</v>
      </c>
      <c r="O291" s="23">
        <f>SUMPRODUCT(H291:K291,Portfolio!$B$24:$E$24)</f>
        <v>7.4985446775766669E-4</v>
      </c>
      <c r="Q291" s="21">
        <f t="shared" si="33"/>
        <v>181.34078265162489</v>
      </c>
      <c r="R291" s="21">
        <f t="shared" si="34"/>
        <v>209.61516906407618</v>
      </c>
      <c r="S291" s="22">
        <f>Q291/MAX(Q$6:Q291)-1</f>
        <v>-6.8490742181727127E-3</v>
      </c>
      <c r="T291" s="22">
        <f>R291/MAX(R$6:R291)-1</f>
        <v>-5.8306652287576477E-2</v>
      </c>
    </row>
    <row r="292" spans="1:20" x14ac:dyDescent="0.2">
      <c r="A292" s="18">
        <v>44666</v>
      </c>
      <c r="B292" s="19">
        <v>467.66</v>
      </c>
      <c r="C292" s="19">
        <v>173.66</v>
      </c>
      <c r="D292" s="19">
        <v>65.02</v>
      </c>
      <c r="E292" s="19">
        <v>2.73</v>
      </c>
      <c r="F292" s="20">
        <v>4392.59</v>
      </c>
      <c r="H292" s="23">
        <f t="shared" si="28"/>
        <v>1.3303865487952926E-2</v>
      </c>
      <c r="I292" s="23">
        <f t="shared" si="29"/>
        <v>-2.584572971110366E-3</v>
      </c>
      <c r="J292" s="23">
        <f t="shared" si="30"/>
        <v>1.8643271189096033E-2</v>
      </c>
      <c r="K292" s="23">
        <f>E291/100/Inputs!$B$17-'Valuation and Bond'!$B$44*(E292-E291)/100+0.5*'Valuation and Bond'!$B$45*((E292-E291)/100)^2</f>
        <v>-1.6698724167030132E-3</v>
      </c>
      <c r="L292" s="23">
        <f t="shared" si="31"/>
        <v>-2.1319971124796E-2</v>
      </c>
      <c r="M292" s="23">
        <f t="shared" si="32"/>
        <v>6.8679826396666503E-3</v>
      </c>
      <c r="N292" s="23">
        <f>SUMPRODUCT(H292:K292,Portfolio!$B$23:$E$23)</f>
        <v>6.9231728223088955E-3</v>
      </c>
      <c r="O292" s="23">
        <f>SUMPRODUCT(H292:K292,Portfolio!$B$24:$E$24)</f>
        <v>7.0191977850877409E-3</v>
      </c>
      <c r="Q292" s="21">
        <f t="shared" si="33"/>
        <v>182.58622799873982</v>
      </c>
      <c r="R292" s="21">
        <f t="shared" si="34"/>
        <v>205.14617971231084</v>
      </c>
      <c r="S292" s="22">
        <f>Q292/MAX(Q$6:Q292)-1</f>
        <v>-2.8130901334355585E-5</v>
      </c>
      <c r="T292" s="22">
        <f>R292/MAX(R$6:R292)-1</f>
        <v>-7.8383527269217823E-2</v>
      </c>
    </row>
    <row r="293" spans="1:20" x14ac:dyDescent="0.2">
      <c r="A293" s="18">
        <v>44673</v>
      </c>
      <c r="B293" s="19">
        <v>445.79</v>
      </c>
      <c r="C293" s="19">
        <v>173.31</v>
      </c>
      <c r="D293" s="19">
        <v>65.25</v>
      </c>
      <c r="E293" s="19">
        <v>2.89</v>
      </c>
      <c r="F293" s="20">
        <v>4271.78</v>
      </c>
      <c r="H293" s="23">
        <f t="shared" si="28"/>
        <v>-4.6764743617157767E-2</v>
      </c>
      <c r="I293" s="23">
        <f t="shared" si="29"/>
        <v>-2.0154324542208668E-3</v>
      </c>
      <c r="J293" s="23">
        <f t="shared" si="30"/>
        <v>3.5373731159644706E-3</v>
      </c>
      <c r="K293" s="23">
        <f>E292/100/Inputs!$B$17-'Valuation and Bond'!$B$44*(E293-E292)/100+0.5*'Valuation and Bond'!$B$45*((E293-E292)/100)^2</f>
        <v>-6.4479232859691914E-3</v>
      </c>
      <c r="L293" s="23">
        <f t="shared" si="31"/>
        <v>-2.7503135963065195E-2</v>
      </c>
      <c r="M293" s="23">
        <f t="shared" si="32"/>
        <v>-6.9571424697221201E-3</v>
      </c>
      <c r="N293" s="23">
        <f>SUMPRODUCT(H293:K293,Portfolio!$B$23:$E$23)</f>
        <v>-1.2922681560345839E-2</v>
      </c>
      <c r="O293" s="23">
        <f>SUMPRODUCT(H293:K293,Portfolio!$B$24:$E$24)</f>
        <v>-7.6758797492009877E-3</v>
      </c>
      <c r="Q293" s="21">
        <f t="shared" si="33"/>
        <v>181.31594959754341</v>
      </c>
      <c r="R293" s="21">
        <f t="shared" si="34"/>
        <v>199.50401643937974</v>
      </c>
      <c r="S293" s="22">
        <f>Q293/MAX(Q$6:Q293)-1</f>
        <v>-6.9850776603680442E-3</v>
      </c>
      <c r="T293" s="22">
        <f>R293/MAX(R$6:R293)-1</f>
        <v>-0.10373087042453311</v>
      </c>
    </row>
    <row r="294" spans="1:20" x14ac:dyDescent="0.2">
      <c r="A294" s="18">
        <v>44680</v>
      </c>
      <c r="B294" s="19">
        <v>432.12</v>
      </c>
      <c r="C294" s="19">
        <v>170.25</v>
      </c>
      <c r="D294" s="19">
        <v>64.61</v>
      </c>
      <c r="E294" s="19">
        <v>2.84</v>
      </c>
      <c r="F294" s="20">
        <v>4131.93</v>
      </c>
      <c r="H294" s="23">
        <f t="shared" si="28"/>
        <v>-3.0664662733574155E-2</v>
      </c>
      <c r="I294" s="23">
        <f t="shared" si="29"/>
        <v>-1.7656222953089884E-2</v>
      </c>
      <c r="J294" s="23">
        <f t="shared" si="30"/>
        <v>-9.808429118773998E-3</v>
      </c>
      <c r="K294" s="23">
        <f>E293/100/Inputs!$B$17-'Valuation and Bond'!$B$44*(E294-E293)/100+0.5*'Valuation and Bond'!$B$45*((E294-E293)/100)^2</f>
        <v>2.7466794494225752E-3</v>
      </c>
      <c r="L294" s="23">
        <f t="shared" si="31"/>
        <v>-3.2738109172288699E-2</v>
      </c>
      <c r="M294" s="23">
        <f t="shared" si="32"/>
        <v>-1.2650630324419949E-2</v>
      </c>
      <c r="N294" s="23">
        <f>SUMPRODUCT(H294:K294,Portfolio!$B$23:$E$23)</f>
        <v>-1.3845658839003865E-2</v>
      </c>
      <c r="O294" s="23">
        <f>SUMPRODUCT(H294:K294,Portfolio!$B$24:$E$24)</f>
        <v>-8.5138021081065315E-3</v>
      </c>
      <c r="Q294" s="21">
        <f t="shared" si="33"/>
        <v>179.02218854726374</v>
      </c>
      <c r="R294" s="21">
        <f t="shared" si="34"/>
        <v>192.97263216887725</v>
      </c>
      <c r="S294" s="22">
        <f>Q294/MAX(Q$6:Q294)-1</f>
        <v>-1.954734234951927E-2</v>
      </c>
      <c r="T294" s="22">
        <f>R294/MAX(R$6:R294)-1</f>
        <v>-0.13307302703632695</v>
      </c>
    </row>
    <row r="295" spans="1:20" x14ac:dyDescent="0.2">
      <c r="A295" s="18">
        <v>44687</v>
      </c>
      <c r="B295" s="19">
        <v>449.43</v>
      </c>
      <c r="C295" s="19">
        <v>167.45</v>
      </c>
      <c r="D295" s="19">
        <v>64.739999999999995</v>
      </c>
      <c r="E295" s="19">
        <v>3</v>
      </c>
      <c r="F295" s="20">
        <v>4123.34</v>
      </c>
      <c r="H295" s="23">
        <f t="shared" si="28"/>
        <v>4.0058317134129329E-2</v>
      </c>
      <c r="I295" s="23">
        <f t="shared" si="29"/>
        <v>-1.6446402349486133E-2</v>
      </c>
      <c r="J295" s="23">
        <f t="shared" si="30"/>
        <v>2.012072434607548E-3</v>
      </c>
      <c r="K295" s="23">
        <f>E294/100/Inputs!$B$17-'Valuation and Bond'!$B$44*(E295-E294)/100+0.5*'Valuation and Bond'!$B$45*((E295-E294)/100)^2</f>
        <v>-6.4267694398153453E-3</v>
      </c>
      <c r="L295" s="23">
        <f t="shared" si="31"/>
        <v>-2.0789316372736844E-3</v>
      </c>
      <c r="M295" s="23">
        <f t="shared" si="32"/>
        <v>-7.2586519634130933E-4</v>
      </c>
      <c r="N295" s="23">
        <f>SUMPRODUCT(H295:K295,Portfolio!$B$23:$E$23)</f>
        <v>4.7993044448588493E-3</v>
      </c>
      <c r="O295" s="23">
        <f>SUMPRODUCT(H295:K295,Portfolio!$B$24:$E$24)</f>
        <v>1.0967945651927445E-3</v>
      </c>
      <c r="Q295" s="21">
        <f t="shared" si="33"/>
        <v>178.89224257122441</v>
      </c>
      <c r="R295" s="21">
        <f t="shared" si="34"/>
        <v>192.57145525873341</v>
      </c>
      <c r="S295" s="22">
        <f>Q295/MAX(Q$6:Q295)-1</f>
        <v>-2.0259018810368179E-2</v>
      </c>
      <c r="T295" s="22">
        <f>R295/MAX(R$6:R295)-1</f>
        <v>-0.13487530894762689</v>
      </c>
    </row>
    <row r="296" spans="1:20" x14ac:dyDescent="0.2">
      <c r="A296" s="18">
        <v>44694</v>
      </c>
      <c r="B296" s="19">
        <v>435.17</v>
      </c>
      <c r="C296" s="19">
        <v>169.74</v>
      </c>
      <c r="D296" s="19">
        <v>65.72</v>
      </c>
      <c r="E296" s="19">
        <v>2.89</v>
      </c>
      <c r="F296" s="20">
        <v>4023.89</v>
      </c>
      <c r="H296" s="23">
        <f t="shared" si="28"/>
        <v>-3.1729079055692777E-2</v>
      </c>
      <c r="I296" s="23">
        <f t="shared" si="29"/>
        <v>1.3675724096745334E-2</v>
      </c>
      <c r="J296" s="23">
        <f t="shared" si="30"/>
        <v>1.5137472968798305E-2</v>
      </c>
      <c r="K296" s="23">
        <f>E295/100/Inputs!$B$17-'Valuation and Bond'!$B$44*(E296-E295)/100+0.5*'Valuation and Bond'!$B$45*((E296-E295)/100)^2</f>
        <v>5.4043877642271209E-3</v>
      </c>
      <c r="L296" s="23">
        <f t="shared" si="31"/>
        <v>-2.4118796897660721E-2</v>
      </c>
      <c r="M296" s="23">
        <f t="shared" si="32"/>
        <v>6.4986606568615199E-3</v>
      </c>
      <c r="N296" s="23">
        <f>SUMPRODUCT(H296:K296,Portfolio!$B$23:$E$23)</f>
        <v>6.2212644351949562E-4</v>
      </c>
      <c r="O296" s="23">
        <f>SUMPRODUCT(H296:K296,Portfolio!$B$24:$E$24)</f>
        <v>5.009604780353118E-3</v>
      </c>
      <c r="Q296" s="21">
        <f t="shared" si="33"/>
        <v>180.05480254983976</v>
      </c>
      <c r="R296" s="21">
        <f t="shared" si="34"/>
        <v>187.92686344106104</v>
      </c>
      <c r="S296" s="22">
        <f>Q296/MAX(Q$6:Q296)-1</f>
        <v>-1.3892014641996187E-2</v>
      </c>
      <c r="T296" s="22">
        <f>R296/MAX(R$6:R296)-1</f>
        <v>-0.15574107566227069</v>
      </c>
    </row>
    <row r="297" spans="1:20" x14ac:dyDescent="0.2">
      <c r="A297" s="18">
        <v>44701</v>
      </c>
      <c r="B297" s="19">
        <v>424.15</v>
      </c>
      <c r="C297" s="19">
        <v>169.81</v>
      </c>
      <c r="D297" s="19">
        <v>60.98</v>
      </c>
      <c r="E297" s="19">
        <v>2.86</v>
      </c>
      <c r="F297" s="20">
        <v>3901.36</v>
      </c>
      <c r="H297" s="23">
        <f t="shared" si="28"/>
        <v>-2.5323436817795475E-2</v>
      </c>
      <c r="I297" s="23">
        <f t="shared" si="29"/>
        <v>4.123954283019593E-4</v>
      </c>
      <c r="J297" s="23">
        <f t="shared" si="30"/>
        <v>-7.2124163116250806E-2</v>
      </c>
      <c r="K297" s="23">
        <f>E296/100/Inputs!$B$17-'Valuation and Bond'!$B$44*(E297-E296)/100+0.5*'Valuation and Bond'!$B$45*((E297-E296)/100)^2</f>
        <v>1.8696369795733576E-3</v>
      </c>
      <c r="L297" s="23">
        <f t="shared" si="31"/>
        <v>-3.0450633590878406E-2</v>
      </c>
      <c r="M297" s="23">
        <f t="shared" si="32"/>
        <v>-2.718724254283823E-2</v>
      </c>
      <c r="N297" s="23">
        <f>SUMPRODUCT(H297:K297,Portfolio!$B$23:$E$23)</f>
        <v>-2.379139188154274E-2</v>
      </c>
      <c r="O297" s="23">
        <f>SUMPRODUCT(H297:K297,Portfolio!$B$24:$E$24)</f>
        <v>-2.689018910675146E-2</v>
      </c>
      <c r="Q297" s="21">
        <f t="shared" si="33"/>
        <v>175.15960896191442</v>
      </c>
      <c r="R297" s="21">
        <f t="shared" si="34"/>
        <v>182.20437138053424</v>
      </c>
      <c r="S297" s="22">
        <f>Q297/MAX(Q$6:Q297)-1</f>
        <v>-4.070157161335386E-2</v>
      </c>
      <c r="T297" s="22">
        <f>R297/MAX(R$6:R297)-1</f>
        <v>-0.18144929482310801</v>
      </c>
    </row>
    <row r="298" spans="1:20" x14ac:dyDescent="0.2">
      <c r="A298" s="18">
        <v>44708</v>
      </c>
      <c r="B298" s="19">
        <v>450.56</v>
      </c>
      <c r="C298" s="19">
        <v>177.97</v>
      </c>
      <c r="D298" s="19">
        <v>64.680000000000007</v>
      </c>
      <c r="E298" s="19">
        <v>2.75</v>
      </c>
      <c r="F298" s="20">
        <v>4158.24</v>
      </c>
      <c r="H298" s="23">
        <f t="shared" si="28"/>
        <v>6.2265707886361099E-2</v>
      </c>
      <c r="I298" s="23">
        <f t="shared" si="29"/>
        <v>4.8053707084388497E-2</v>
      </c>
      <c r="J298" s="23">
        <f t="shared" si="30"/>
        <v>6.0675631354542681E-2</v>
      </c>
      <c r="K298" s="23">
        <f>E297/100/Inputs!$B$17-'Valuation and Bond'!$B$44*(E298-E297)/100+0.5*'Valuation and Bond'!$B$45*((E298-E297)/100)^2</f>
        <v>5.3774646873040446E-3</v>
      </c>
      <c r="L298" s="23">
        <f t="shared" si="31"/>
        <v>6.5843705784649265E-2</v>
      </c>
      <c r="M298" s="23">
        <f t="shared" si="32"/>
        <v>4.5661448152410015E-2</v>
      </c>
      <c r="N298" s="23">
        <f>SUMPRODUCT(H298:K298,Portfolio!$B$23:$E$23)</f>
        <v>4.4093127753149081E-2</v>
      </c>
      <c r="O298" s="23">
        <f>SUMPRODUCT(H298:K298,Portfolio!$B$24:$E$24)</f>
        <v>3.7090182779230207E-2</v>
      </c>
      <c r="Q298" s="21">
        <f t="shared" si="33"/>
        <v>183.15765036492527</v>
      </c>
      <c r="R298" s="21">
        <f t="shared" si="34"/>
        <v>194.20138240239112</v>
      </c>
      <c r="S298" s="22">
        <f>Q298/MAX(Q$6:Q298)-1</f>
        <v>0</v>
      </c>
      <c r="T298" s="22">
        <f>R298/MAX(R$6:R298)-1</f>
        <v>-0.1275528830216236</v>
      </c>
    </row>
    <row r="299" spans="1:20" x14ac:dyDescent="0.2">
      <c r="A299" s="18">
        <v>44715</v>
      </c>
      <c r="B299" s="19">
        <v>442.69</v>
      </c>
      <c r="C299" s="19">
        <v>172.33</v>
      </c>
      <c r="D299" s="19">
        <v>62.97</v>
      </c>
      <c r="E299" s="19">
        <v>2.91</v>
      </c>
      <c r="F299" s="20">
        <v>4108.54</v>
      </c>
      <c r="H299" s="23">
        <f t="shared" si="28"/>
        <v>-1.7467151988636354E-2</v>
      </c>
      <c r="I299" s="23">
        <f t="shared" si="29"/>
        <v>-3.1690734393437059E-2</v>
      </c>
      <c r="J299" s="23">
        <f t="shared" si="30"/>
        <v>-2.6437847866419451E-2</v>
      </c>
      <c r="K299" s="23">
        <f>E298/100/Inputs!$B$17-'Valuation and Bond'!$B$44*(E299-E298)/100+0.5*'Valuation and Bond'!$B$45*((E299-E298)/100)^2</f>
        <v>-6.4440771321230376E-3</v>
      </c>
      <c r="L299" s="23">
        <f t="shared" si="31"/>
        <v>-1.1952172072799971E-2</v>
      </c>
      <c r="M299" s="23">
        <f t="shared" si="32"/>
        <v>-2.2983929069669718E-2</v>
      </c>
      <c r="N299" s="23">
        <f>SUMPRODUCT(H299:K299,Portfolio!$B$23:$E$23)</f>
        <v>-2.0509952845153976E-2</v>
      </c>
      <c r="O299" s="23">
        <f>SUMPRODUCT(H299:K299,Portfolio!$B$24:$E$24)</f>
        <v>-1.7979499050231773E-2</v>
      </c>
      <c r="Q299" s="21">
        <f t="shared" si="33"/>
        <v>178.94796792037047</v>
      </c>
      <c r="R299" s="21">
        <f t="shared" si="34"/>
        <v>191.8802540631421</v>
      </c>
      <c r="S299" s="22">
        <f>Q299/MAX(Q$6:Q299)-1</f>
        <v>-2.2983929069669728E-2</v>
      </c>
      <c r="T299" s="22">
        <f>R299/MAX(R$6:R299)-1</f>
        <v>-0.13798052108816738</v>
      </c>
    </row>
    <row r="300" spans="1:20" x14ac:dyDescent="0.2">
      <c r="A300" s="18">
        <v>44722</v>
      </c>
      <c r="B300" s="19">
        <v>430.19</v>
      </c>
      <c r="C300" s="19">
        <v>157.78</v>
      </c>
      <c r="D300" s="19">
        <v>61.41</v>
      </c>
      <c r="E300" s="19">
        <v>3.07</v>
      </c>
      <c r="F300" s="20">
        <v>3900.86</v>
      </c>
      <c r="H300" s="23">
        <f t="shared" si="28"/>
        <v>-2.8236463439427095E-2</v>
      </c>
      <c r="I300" s="23">
        <f t="shared" si="29"/>
        <v>-8.4431033482272433E-2</v>
      </c>
      <c r="J300" s="23">
        <f t="shared" si="30"/>
        <v>-2.4773701762744182E-2</v>
      </c>
      <c r="K300" s="23">
        <f>E299/100/Inputs!$B$17-'Valuation and Bond'!$B$44*(E300-E299)/100+0.5*'Valuation and Bond'!$B$45*((E300-E299)/100)^2</f>
        <v>-6.4133079013537877E-3</v>
      </c>
      <c r="L300" s="23">
        <f t="shared" si="31"/>
        <v>-5.054836998057699E-2</v>
      </c>
      <c r="M300" s="23">
        <f t="shared" si="32"/>
        <v>-4.1247358380070917E-2</v>
      </c>
      <c r="N300" s="23">
        <f>SUMPRODUCT(H300:K300,Portfolio!$B$23:$E$23)</f>
        <v>-3.5963626646449372E-2</v>
      </c>
      <c r="O300" s="23">
        <f>SUMPRODUCT(H300:K300,Portfolio!$B$24:$E$24)</f>
        <v>-2.5774524917977992E-2</v>
      </c>
      <c r="Q300" s="21">
        <f t="shared" si="33"/>
        <v>171.56683695617352</v>
      </c>
      <c r="R300" s="21">
        <f t="shared" si="34"/>
        <v>182.18101998879129</v>
      </c>
      <c r="S300" s="22">
        <f>Q300/MAX(Q$6:Q300)-1</f>
        <v>-6.3283261090421816E-2</v>
      </c>
      <c r="T300" s="22">
        <f>R300/MAX(R$6:R300)-1</f>
        <v>-0.1815542006386669</v>
      </c>
    </row>
    <row r="301" spans="1:20" x14ac:dyDescent="0.2">
      <c r="A301" s="18">
        <v>44729</v>
      </c>
      <c r="B301" s="19">
        <v>404.01</v>
      </c>
      <c r="C301" s="19">
        <v>150.19999999999999</v>
      </c>
      <c r="D301" s="19">
        <v>59.43</v>
      </c>
      <c r="E301" s="19">
        <v>3.45</v>
      </c>
      <c r="F301" s="20">
        <v>3674.84</v>
      </c>
      <c r="H301" s="23">
        <f t="shared" si="28"/>
        <v>-6.085683070271275E-2</v>
      </c>
      <c r="I301" s="23">
        <f t="shared" si="29"/>
        <v>-4.8041576879198966E-2</v>
      </c>
      <c r="J301" s="23">
        <f t="shared" si="30"/>
        <v>-3.2242305813385386E-2</v>
      </c>
      <c r="K301" s="23">
        <f>E300/100/Inputs!$B$17-'Valuation and Bond'!$B$44*(E301-E300)/100+0.5*'Valuation and Bond'!$B$45*((E301-E300)/100)^2</f>
        <v>-1.5875786909413776E-2</v>
      </c>
      <c r="L301" s="23">
        <f t="shared" si="31"/>
        <v>-5.7941069405208045E-2</v>
      </c>
      <c r="M301" s="23">
        <f t="shared" si="32"/>
        <v>-3.7974186032145425E-2</v>
      </c>
      <c r="N301" s="23">
        <f>SUMPRODUCT(H301:K301,Portfolio!$B$23:$E$23)</f>
        <v>-3.9254125076177718E-2</v>
      </c>
      <c r="O301" s="23">
        <f>SUMPRODUCT(H301:K301,Portfolio!$B$24:$E$24)</f>
        <v>-3.1475933999144758E-2</v>
      </c>
      <c r="Q301" s="21">
        <f t="shared" si="33"/>
        <v>165.05172597265303</v>
      </c>
      <c r="R301" s="21">
        <f t="shared" si="34"/>
        <v>171.62525686530915</v>
      </c>
      <c r="S301" s="22">
        <f>Q301/MAX(Q$6:Q301)-1</f>
        <v>-9.8854316793198671E-2</v>
      </c>
      <c r="T301" s="22">
        <f>R301/MAX(R$6:R301)-1</f>
        <v>-0.22897582550386275</v>
      </c>
    </row>
    <row r="302" spans="1:20" x14ac:dyDescent="0.2">
      <c r="A302" s="18">
        <v>44736</v>
      </c>
      <c r="B302" s="19">
        <v>419.04</v>
      </c>
      <c r="C302" s="19">
        <v>155.94999999999999</v>
      </c>
      <c r="D302" s="19">
        <v>63.04</v>
      </c>
      <c r="E302" s="19">
        <v>3.23</v>
      </c>
      <c r="F302" s="20">
        <v>3911.74</v>
      </c>
      <c r="H302" s="23">
        <f t="shared" si="28"/>
        <v>3.7202049454221564E-2</v>
      </c>
      <c r="I302" s="23">
        <f t="shared" si="29"/>
        <v>3.8282290279627151E-2</v>
      </c>
      <c r="J302" s="23">
        <f t="shared" si="30"/>
        <v>6.0743732121824046E-2</v>
      </c>
      <c r="K302" s="23">
        <f>E301/100/Inputs!$B$17-'Valuation and Bond'!$B$44*(E302-E301)/100+0.5*'Valuation and Bond'!$B$45*((E302-E301)/100)^2</f>
        <v>1.0345752336047618E-2</v>
      </c>
      <c r="L302" s="23">
        <f t="shared" si="31"/>
        <v>6.4465391690522456E-2</v>
      </c>
      <c r="M302" s="23">
        <f t="shared" si="32"/>
        <v>4.0132587403286457E-2</v>
      </c>
      <c r="N302" s="23">
        <f>SUMPRODUCT(H302:K302,Portfolio!$B$23:$E$23)</f>
        <v>3.6643456047930095E-2</v>
      </c>
      <c r="O302" s="23">
        <f>SUMPRODUCT(H302:K302,Portfolio!$B$24:$E$24)</f>
        <v>3.4576122411752647E-2</v>
      </c>
      <c r="Q302" s="21">
        <f t="shared" si="33"/>
        <v>171.67567879131383</v>
      </c>
      <c r="R302" s="21">
        <f t="shared" si="34"/>
        <v>182.68914627311784</v>
      </c>
      <c r="S302" s="22">
        <f>Q302/MAX(Q$6:Q302)-1</f>
        <v>-6.2689008898807352E-2</v>
      </c>
      <c r="T302" s="22">
        <f>R302/MAX(R$6:R302)-1</f>
        <v>-0.17927145009210754</v>
      </c>
    </row>
    <row r="303" spans="1:20" x14ac:dyDescent="0.2">
      <c r="A303" s="18">
        <v>44743</v>
      </c>
      <c r="B303" s="19">
        <v>433.52</v>
      </c>
      <c r="C303" s="19">
        <v>148.54</v>
      </c>
      <c r="D303" s="19">
        <v>64.38</v>
      </c>
      <c r="E303" s="19">
        <v>3.11</v>
      </c>
      <c r="F303" s="20">
        <v>3825.33</v>
      </c>
      <c r="H303" s="23">
        <f t="shared" si="28"/>
        <v>3.4555173730431266E-2</v>
      </c>
      <c r="I303" s="23">
        <f t="shared" si="29"/>
        <v>-4.7515229240141066E-2</v>
      </c>
      <c r="J303" s="23">
        <f t="shared" si="30"/>
        <v>2.1256345177664837E-2</v>
      </c>
      <c r="K303" s="23">
        <f>E302/100/Inputs!$B$17-'Valuation and Bond'!$B$44*(E303-E302)/100+0.5*'Valuation and Bond'!$B$45*((E303-E302)/100)^2</f>
        <v>5.8888357243522173E-3</v>
      </c>
      <c r="L303" s="23">
        <f t="shared" si="31"/>
        <v>-2.2089913951336193E-2</v>
      </c>
      <c r="M303" s="23">
        <f t="shared" si="32"/>
        <v>-2.7496814876320818E-3</v>
      </c>
      <c r="N303" s="23">
        <f>SUMPRODUCT(H303:K303,Portfolio!$B$23:$E$23)</f>
        <v>3.5462813480768136E-3</v>
      </c>
      <c r="O303" s="23">
        <f>SUMPRODUCT(H303:K303,Portfolio!$B$24:$E$24)</f>
        <v>7.7182039438738808E-3</v>
      </c>
      <c r="Q303" s="21">
        <f t="shared" si="33"/>
        <v>171.20362535546468</v>
      </c>
      <c r="R303" s="21">
        <f t="shared" si="34"/>
        <v>178.65355875210159</v>
      </c>
      <c r="S303" s="22">
        <f>Q303/MAX(Q$6:Q303)-1</f>
        <v>-6.526631557919238E-2</v>
      </c>
      <c r="T303" s="22">
        <f>R303/MAX(R$6:R303)-1</f>
        <v>-0.19740127313697786</v>
      </c>
    </row>
    <row r="304" spans="1:20" x14ac:dyDescent="0.2">
      <c r="A304" s="18">
        <v>44750</v>
      </c>
      <c r="B304" s="19">
        <v>420.35</v>
      </c>
      <c r="C304" s="19">
        <v>155.53</v>
      </c>
      <c r="D304" s="19">
        <v>63.14</v>
      </c>
      <c r="E304" s="19">
        <v>2.99</v>
      </c>
      <c r="F304" s="20">
        <v>3899.38</v>
      </c>
      <c r="H304" s="23">
        <f t="shared" si="28"/>
        <v>-3.037922125853465E-2</v>
      </c>
      <c r="I304" s="23">
        <f t="shared" si="29"/>
        <v>4.7058031506664877E-2</v>
      </c>
      <c r="J304" s="23">
        <f t="shared" si="30"/>
        <v>-1.9260639950295033E-2</v>
      </c>
      <c r="K304" s="23">
        <f>E303/100/Inputs!$B$17-'Valuation and Bond'!$B$44*(E304-E303)/100+0.5*'Valuation and Bond'!$B$45*((E304-E303)/100)^2</f>
        <v>5.8657588012752766E-3</v>
      </c>
      <c r="L304" s="23">
        <f t="shared" si="31"/>
        <v>1.9357807038869801E-2</v>
      </c>
      <c r="M304" s="23">
        <f t="shared" si="32"/>
        <v>6.1765893574740501E-3</v>
      </c>
      <c r="N304" s="23">
        <f>SUMPRODUCT(H304:K304,Portfolio!$B$23:$E$23)</f>
        <v>8.2098227477761759E-4</v>
      </c>
      <c r="O304" s="23">
        <f>SUMPRODUCT(H304:K304,Portfolio!$B$24:$E$24)</f>
        <v>-1.8626734793975031E-3</v>
      </c>
      <c r="Q304" s="21">
        <f t="shared" si="33"/>
        <v>172.26107984579622</v>
      </c>
      <c r="R304" s="21">
        <f t="shared" si="34"/>
        <v>182.11189986923216</v>
      </c>
      <c r="S304" s="22">
        <f>Q304/MAX(Q$6:Q304)-1</f>
        <v>-5.9492849451926344E-2</v>
      </c>
      <c r="T304" s="22">
        <f>R304/MAX(R$6:R304)-1</f>
        <v>-0.18186472185272085</v>
      </c>
    </row>
    <row r="305" spans="1:20" x14ac:dyDescent="0.2">
      <c r="A305" s="18">
        <v>44757</v>
      </c>
      <c r="B305" s="19">
        <v>398.38</v>
      </c>
      <c r="C305" s="19">
        <v>160.54</v>
      </c>
      <c r="D305" s="19">
        <v>62.5</v>
      </c>
      <c r="E305" s="19">
        <v>3.04</v>
      </c>
      <c r="F305" s="20">
        <v>3863.16</v>
      </c>
      <c r="H305" s="23">
        <f t="shared" si="28"/>
        <v>-5.2265968835494281E-2</v>
      </c>
      <c r="I305" s="23">
        <f t="shared" si="29"/>
        <v>3.2212434900019238E-2</v>
      </c>
      <c r="J305" s="23">
        <f t="shared" si="30"/>
        <v>-1.0136205258156505E-2</v>
      </c>
      <c r="K305" s="23">
        <f>E304/100/Inputs!$B$17-'Valuation and Bond'!$B$44*(E305-E304)/100+0.5*'Valuation and Bond'!$B$45*((E305-E304)/100)^2</f>
        <v>-1.6102570320876287E-3</v>
      </c>
      <c r="L305" s="23">
        <f t="shared" si="31"/>
        <v>-9.2886561453360272E-3</v>
      </c>
      <c r="M305" s="23">
        <f t="shared" si="32"/>
        <v>-3.8158034741989609E-5</v>
      </c>
      <c r="N305" s="23">
        <f>SUMPRODUCT(H305:K305,Portfolio!$B$23:$E$23)</f>
        <v>-7.9499990564297941E-3</v>
      </c>
      <c r="O305" s="23">
        <f>SUMPRODUCT(H305:K305,Portfolio!$B$24:$E$24)</f>
        <v>-6.5493925359053256E-3</v>
      </c>
      <c r="Q305" s="21">
        <f t="shared" si="33"/>
        <v>172.25450670152676</v>
      </c>
      <c r="R305" s="21">
        <f t="shared" si="34"/>
        <v>180.420325051373</v>
      </c>
      <c r="S305" s="22">
        <f>Q305/MAX(Q$6:Q305)-1</f>
        <v>-5.9528737356452033E-2</v>
      </c>
      <c r="T305" s="22">
        <f>R305/MAX(R$6:R305)-1</f>
        <v>-0.18946409913179985</v>
      </c>
    </row>
    <row r="306" spans="1:20" x14ac:dyDescent="0.2">
      <c r="A306" s="18">
        <v>44764</v>
      </c>
      <c r="B306" s="19">
        <v>394.74</v>
      </c>
      <c r="C306" s="19">
        <v>163.9</v>
      </c>
      <c r="D306" s="19">
        <v>61.59</v>
      </c>
      <c r="E306" s="19">
        <v>3.05</v>
      </c>
      <c r="F306" s="20">
        <v>3961.63</v>
      </c>
      <c r="H306" s="23">
        <f t="shared" si="28"/>
        <v>-9.1370048697223538E-3</v>
      </c>
      <c r="I306" s="23">
        <f t="shared" si="29"/>
        <v>2.0929363398530132E-2</v>
      </c>
      <c r="J306" s="23">
        <f t="shared" si="30"/>
        <v>-1.4559999999999906E-2</v>
      </c>
      <c r="K306" s="23">
        <f>E305/100/Inputs!$B$17-'Valuation and Bond'!$B$44*(E306-E305)/100+0.5*'Valuation and Bond'!$B$45*((E306-E305)/100)^2</f>
        <v>1.4711172327261095E-4</v>
      </c>
      <c r="L306" s="23">
        <f t="shared" si="31"/>
        <v>2.5489495646051408E-2</v>
      </c>
      <c r="M306" s="23">
        <f t="shared" si="32"/>
        <v>8.1145912093128544E-4</v>
      </c>
      <c r="N306" s="23">
        <f>SUMPRODUCT(H306:K306,Portfolio!$B$23:$E$23)</f>
        <v>-6.5513243697987937E-4</v>
      </c>
      <c r="O306" s="23">
        <f>SUMPRODUCT(H306:K306,Portfolio!$B$24:$E$24)</f>
        <v>-3.2793395244327455E-3</v>
      </c>
      <c r="Q306" s="21">
        <f t="shared" si="33"/>
        <v>172.39428419211126</v>
      </c>
      <c r="R306" s="21">
        <f t="shared" si="34"/>
        <v>185.01914814122915</v>
      </c>
      <c r="S306" s="22">
        <f>Q306/MAX(Q$6:Q306)-1</f>
        <v>-5.8765583372406116E-2</v>
      </c>
      <c r="T306" s="22">
        <f>R306/MAX(R$6:R306)-1</f>
        <v>-0.16880394781565145</v>
      </c>
    </row>
    <row r="307" spans="1:20" x14ac:dyDescent="0.2">
      <c r="A307" s="18">
        <v>44771</v>
      </c>
      <c r="B307" s="19">
        <v>413.81</v>
      </c>
      <c r="C307" s="19">
        <v>178.89</v>
      </c>
      <c r="D307" s="19">
        <v>64.17</v>
      </c>
      <c r="E307" s="19">
        <v>2.8</v>
      </c>
      <c r="F307" s="20">
        <v>4130.29</v>
      </c>
      <c r="H307" s="23">
        <f t="shared" si="28"/>
        <v>4.831028018442507E-2</v>
      </c>
      <c r="I307" s="23">
        <f t="shared" si="29"/>
        <v>9.1458206223306693E-2</v>
      </c>
      <c r="J307" s="23">
        <f t="shared" si="30"/>
        <v>4.1889917194349646E-2</v>
      </c>
      <c r="K307" s="23">
        <f>E306/100/Inputs!$B$17-'Valuation and Bond'!$B$44*(E307-E306)/100+0.5*'Valuation and Bond'!$B$45*((E307-E306)/100)^2</f>
        <v>1.1597621420462086E-2</v>
      </c>
      <c r="L307" s="23">
        <f t="shared" si="31"/>
        <v>4.2573385197506974E-2</v>
      </c>
      <c r="M307" s="23">
        <f t="shared" si="32"/>
        <v>5.3039691515312952E-2</v>
      </c>
      <c r="N307" s="23">
        <f>SUMPRODUCT(H307:K307,Portfolio!$B$23:$E$23)</f>
        <v>4.8314006255635873E-2</v>
      </c>
      <c r="O307" s="23">
        <f>SUMPRODUCT(H307:K307,Portfolio!$B$24:$E$24)</f>
        <v>3.7163425141649255E-2</v>
      </c>
      <c r="Q307" s="21">
        <f t="shared" si="33"/>
        <v>181.53802384466402</v>
      </c>
      <c r="R307" s="21">
        <f t="shared" si="34"/>
        <v>192.8960396039603</v>
      </c>
      <c r="S307" s="22">
        <f>Q307/MAX(Q$6:Q307)-1</f>
        <v>-8.8428002708830222E-3</v>
      </c>
      <c r="T307" s="22">
        <f>R307/MAX(R$6:R307)-1</f>
        <v>-0.13341711811136014</v>
      </c>
    </row>
    <row r="308" spans="1:20" x14ac:dyDescent="0.2">
      <c r="A308" s="18">
        <v>44778</v>
      </c>
      <c r="B308" s="19">
        <v>426.41</v>
      </c>
      <c r="C308" s="19">
        <v>184.3</v>
      </c>
      <c r="D308" s="19">
        <v>63.38</v>
      </c>
      <c r="E308" s="19">
        <v>2.82</v>
      </c>
      <c r="F308" s="20">
        <v>4145.1899999999996</v>
      </c>
      <c r="H308" s="23">
        <f t="shared" si="28"/>
        <v>3.0448756675769184E-2</v>
      </c>
      <c r="I308" s="23">
        <f t="shared" si="29"/>
        <v>3.0242048186036152E-2</v>
      </c>
      <c r="J308" s="23">
        <f t="shared" si="30"/>
        <v>-1.2311048776686873E-2</v>
      </c>
      <c r="K308" s="23">
        <f>E307/100/Inputs!$B$17-'Valuation and Bond'!$B$44*(E308-E307)/100+0.5*'Valuation and Bond'!$B$45*((E308-E307)/100)^2</f>
        <v>-3.3631965676140043E-4</v>
      </c>
      <c r="L308" s="23">
        <f t="shared" si="31"/>
        <v>3.6074948732411904E-3</v>
      </c>
      <c r="M308" s="23">
        <f t="shared" si="32"/>
        <v>9.7920932674472484E-3</v>
      </c>
      <c r="N308" s="23">
        <f>SUMPRODUCT(H308:K308,Portfolio!$B$23:$E$23)</f>
        <v>1.2010859107089265E-2</v>
      </c>
      <c r="O308" s="23">
        <f>SUMPRODUCT(H308:K308,Portfolio!$B$24:$E$24)</f>
        <v>3.6246118319694298E-3</v>
      </c>
      <c r="Q308" s="21">
        <f t="shared" si="33"/>
        <v>183.31566110573905</v>
      </c>
      <c r="R308" s="21">
        <f t="shared" si="34"/>
        <v>193.59191107790011</v>
      </c>
      <c r="S308" s="22">
        <f>Q308/MAX(Q$6:Q308)-1</f>
        <v>0</v>
      </c>
      <c r="T308" s="22">
        <f>R308/MAX(R$6:R308)-1</f>
        <v>-0.13029092480770832</v>
      </c>
    </row>
    <row r="309" spans="1:20" x14ac:dyDescent="0.2">
      <c r="A309" s="18">
        <v>44785</v>
      </c>
      <c r="B309" s="19">
        <v>434.24</v>
      </c>
      <c r="C309" s="19">
        <v>185.38</v>
      </c>
      <c r="D309" s="19">
        <v>63.7</v>
      </c>
      <c r="E309" s="19">
        <v>2.95</v>
      </c>
      <c r="F309" s="20">
        <v>4280.1499999999996</v>
      </c>
      <c r="H309" s="23">
        <f t="shared" si="28"/>
        <v>1.8362608756830268E-2</v>
      </c>
      <c r="I309" s="23">
        <f t="shared" si="29"/>
        <v>5.8600108518718219E-3</v>
      </c>
      <c r="J309" s="23">
        <f t="shared" si="30"/>
        <v>5.0489113284948317E-3</v>
      </c>
      <c r="K309" s="23">
        <f>E308/100/Inputs!$B$17-'Valuation and Bond'!$B$44*(E309-E308)/100+0.5*'Valuation and Bond'!$B$45*((E309-E308)/100)^2</f>
        <v>-5.127601963063529E-3</v>
      </c>
      <c r="L309" s="23">
        <f t="shared" si="31"/>
        <v>3.2558218079267842E-2</v>
      </c>
      <c r="M309" s="23">
        <f t="shared" si="32"/>
        <v>5.0453364221520114E-3</v>
      </c>
      <c r="N309" s="23">
        <f>SUMPRODUCT(H309:K309,Portfolio!$B$23:$E$23)</f>
        <v>6.0359822435333485E-3</v>
      </c>
      <c r="O309" s="23">
        <f>SUMPRODUCT(H309:K309,Portfolio!$B$24:$E$24)</f>
        <v>2.8018311872790385E-3</v>
      </c>
      <c r="Q309" s="21">
        <f t="shared" si="33"/>
        <v>184.24055028746673</v>
      </c>
      <c r="R309" s="21">
        <f t="shared" si="34"/>
        <v>199.89491873715662</v>
      </c>
      <c r="S309" s="22">
        <f>Q309/MAX(Q$6:Q309)-1</f>
        <v>0</v>
      </c>
      <c r="T309" s="22">
        <f>R309/MAX(R$6:R309)-1</f>
        <v>-0.10197474707207932</v>
      </c>
    </row>
    <row r="310" spans="1:20" x14ac:dyDescent="0.2">
      <c r="A310" s="18">
        <v>44792</v>
      </c>
      <c r="B310" s="19">
        <v>440.03</v>
      </c>
      <c r="C310" s="19">
        <v>176.45</v>
      </c>
      <c r="D310" s="19">
        <v>65.17</v>
      </c>
      <c r="E310" s="19">
        <v>3.01</v>
      </c>
      <c r="F310" s="20">
        <v>4228.4799999999996</v>
      </c>
      <c r="H310" s="23">
        <f t="shared" si="28"/>
        <v>1.3333640383198064E-2</v>
      </c>
      <c r="I310" s="23">
        <f t="shared" si="29"/>
        <v>-4.8171323767396745E-2</v>
      </c>
      <c r="J310" s="23">
        <f t="shared" si="30"/>
        <v>2.3076923076922995E-2</v>
      </c>
      <c r="K310" s="23">
        <f>E309/100/Inputs!$B$17-'Valuation and Bond'!$B$44*(E310-E309)/100+0.5*'Valuation and Bond'!$B$45*((E310-E309)/100)^2</f>
        <v>-2.0543223638095705E-3</v>
      </c>
      <c r="L310" s="23">
        <f t="shared" si="31"/>
        <v>-1.2072006822190784E-2</v>
      </c>
      <c r="M310" s="23">
        <f t="shared" si="32"/>
        <v>-6.7522324267675878E-3</v>
      </c>
      <c r="N310" s="23">
        <f>SUMPRODUCT(H310:K310,Portfolio!$B$23:$E$23)</f>
        <v>-3.453770667771314E-3</v>
      </c>
      <c r="O310" s="23">
        <f>SUMPRODUCT(H310:K310,Portfolio!$B$24:$E$24)</f>
        <v>2.3352478792208918E-3</v>
      </c>
      <c r="Q310" s="21">
        <f t="shared" si="33"/>
        <v>182.9965152694902</v>
      </c>
      <c r="R310" s="21">
        <f t="shared" si="34"/>
        <v>197.48178591444039</v>
      </c>
      <c r="S310" s="22">
        <f>Q310/MAX(Q$6:Q310)-1</f>
        <v>-6.7522324267675904E-3</v>
      </c>
      <c r="T310" s="22">
        <f>R310/MAX(R$6:R310)-1</f>
        <v>-0.1128157140519247</v>
      </c>
    </row>
    <row r="311" spans="1:20" x14ac:dyDescent="0.2">
      <c r="A311" s="18">
        <v>44799</v>
      </c>
      <c r="B311" s="19">
        <v>431.13</v>
      </c>
      <c r="C311" s="19">
        <v>169.49</v>
      </c>
      <c r="D311" s="19">
        <v>63.11</v>
      </c>
      <c r="E311" s="19">
        <v>3.18</v>
      </c>
      <c r="F311" s="20">
        <v>4057.66</v>
      </c>
      <c r="H311" s="23">
        <f t="shared" si="28"/>
        <v>-2.0225893689066576E-2</v>
      </c>
      <c r="I311" s="23">
        <f t="shared" si="29"/>
        <v>-3.9444601870218032E-2</v>
      </c>
      <c r="J311" s="23">
        <f t="shared" si="30"/>
        <v>-3.1609636335737323E-2</v>
      </c>
      <c r="K311" s="23">
        <f>E310/100/Inputs!$B$17-'Valuation and Bond'!$B$44*(E311-E310)/100+0.5*'Valuation and Bond'!$B$45*((E311-E310)/100)^2</f>
        <v>-6.8279627540637853E-3</v>
      </c>
      <c r="L311" s="23">
        <f t="shared" si="31"/>
        <v>-4.0397495080974677E-2</v>
      </c>
      <c r="M311" s="23">
        <f t="shared" si="32"/>
        <v>-2.7730494345097376E-2</v>
      </c>
      <c r="N311" s="23">
        <f>SUMPRODUCT(H311:K311,Portfolio!$B$23:$E$23)</f>
        <v>-2.4527023662271431E-2</v>
      </c>
      <c r="O311" s="23">
        <f>SUMPRODUCT(H311:K311,Portfolio!$B$24:$E$24)</f>
        <v>-2.1266951912677291E-2</v>
      </c>
      <c r="Q311" s="21">
        <f t="shared" si="33"/>
        <v>177.92193143763708</v>
      </c>
      <c r="R311" s="21">
        <f t="shared" si="34"/>
        <v>189.50401643937968</v>
      </c>
      <c r="S311" s="22">
        <f>Q311/MAX(Q$6:Q311)-1</f>
        <v>-3.4295484028737611E-2</v>
      </c>
      <c r="T311" s="22">
        <f>R311/MAX(R$6:R311)-1</f>
        <v>-0.14865573687943023</v>
      </c>
    </row>
    <row r="312" spans="1:20" x14ac:dyDescent="0.2">
      <c r="A312" s="18">
        <v>44806</v>
      </c>
      <c r="B312" s="19">
        <v>418.57</v>
      </c>
      <c r="C312" s="19">
        <v>163</v>
      </c>
      <c r="D312" s="19">
        <v>61.15</v>
      </c>
      <c r="E312" s="19">
        <v>3.31</v>
      </c>
      <c r="F312" s="20">
        <v>3924.26</v>
      </c>
      <c r="H312" s="23">
        <f t="shared" si="28"/>
        <v>-2.9132744183888892E-2</v>
      </c>
      <c r="I312" s="23">
        <f t="shared" si="29"/>
        <v>-3.8291344622101597E-2</v>
      </c>
      <c r="J312" s="23">
        <f t="shared" si="30"/>
        <v>-3.1056884804309903E-2</v>
      </c>
      <c r="K312" s="23">
        <f>E311/100/Inputs!$B$17-'Valuation and Bond'!$B$44*(E312-E311)/100+0.5*'Valuation and Bond'!$B$45*((E312-E311)/100)^2</f>
        <v>-5.0583711938327405E-3</v>
      </c>
      <c r="L312" s="23">
        <f t="shared" si="31"/>
        <v>-3.2876091146128439E-2</v>
      </c>
      <c r="M312" s="23">
        <f t="shared" si="32"/>
        <v>-2.7989605189879949E-2</v>
      </c>
      <c r="N312" s="23">
        <f>SUMPRODUCT(H312:K312,Portfolio!$B$23:$E$23)</f>
        <v>-2.5884836201033282E-2</v>
      </c>
      <c r="O312" s="23">
        <f>SUMPRODUCT(H312:K312,Portfolio!$B$24:$E$24)</f>
        <v>-2.1367300114022388E-2</v>
      </c>
      <c r="Q312" s="21">
        <f t="shared" si="33"/>
        <v>172.94196682207675</v>
      </c>
      <c r="R312" s="21">
        <f t="shared" si="34"/>
        <v>183.2738651223612</v>
      </c>
      <c r="S312" s="22">
        <f>Q312/MAX(Q$6:Q312)-1</f>
        <v>-6.1325172160857311E-2</v>
      </c>
      <c r="T312" s="22">
        <f>R312/MAX(R$6:R312)-1</f>
        <v>-0.17664460847051566</v>
      </c>
    </row>
    <row r="313" spans="1:20" x14ac:dyDescent="0.2">
      <c r="A313" s="18">
        <v>44813</v>
      </c>
      <c r="B313" s="19">
        <v>421.53</v>
      </c>
      <c r="C313" s="19">
        <v>170.74</v>
      </c>
      <c r="D313" s="19">
        <v>62.32</v>
      </c>
      <c r="E313" s="19">
        <v>3.41</v>
      </c>
      <c r="F313" s="20">
        <v>4067.36</v>
      </c>
      <c r="H313" s="23">
        <f t="shared" si="28"/>
        <v>7.0716964904316004E-3</v>
      </c>
      <c r="I313" s="23">
        <f t="shared" si="29"/>
        <v>4.7484662576687153E-2</v>
      </c>
      <c r="J313" s="23">
        <f t="shared" si="30"/>
        <v>1.9133278822567545E-2</v>
      </c>
      <c r="K313" s="23">
        <f>E312/100/Inputs!$B$17-'Valuation and Bond'!$B$44*(E313-E312)/100+0.5*'Valuation and Bond'!$B$45*((E313-E312)/100)^2</f>
        <v>-3.7283224160711186E-3</v>
      </c>
      <c r="L313" s="23">
        <f t="shared" si="31"/>
        <v>3.646547374536846E-2</v>
      </c>
      <c r="M313" s="23">
        <f t="shared" si="32"/>
        <v>2.2318755554691275E-2</v>
      </c>
      <c r="N313" s="23">
        <f>SUMPRODUCT(H313:K313,Portfolio!$B$23:$E$23)</f>
        <v>1.7490328868403796E-2</v>
      </c>
      <c r="O313" s="23">
        <f>SUMPRODUCT(H313:K313,Portfolio!$B$24:$E$24)</f>
        <v>1.2187623573545192E-2</v>
      </c>
      <c r="Q313" s="21">
        <f t="shared" si="33"/>
        <v>176.80181630472623</v>
      </c>
      <c r="R313" s="21">
        <f t="shared" si="34"/>
        <v>189.95703343919286</v>
      </c>
      <c r="S313" s="22">
        <f>Q313/MAX(Q$6:Q313)-1</f>
        <v>-4.0375118132973453E-2</v>
      </c>
      <c r="T313" s="22">
        <f>R313/MAX(R$6:R313)-1</f>
        <v>-0.14662056405758972</v>
      </c>
    </row>
    <row r="314" spans="1:20" x14ac:dyDescent="0.2">
      <c r="A314" s="18">
        <v>44820</v>
      </c>
      <c r="B314" s="19">
        <v>414.29</v>
      </c>
      <c r="C314" s="19">
        <v>165.26</v>
      </c>
      <c r="D314" s="19">
        <v>59.54</v>
      </c>
      <c r="E314" s="19">
        <v>3.59</v>
      </c>
      <c r="F314" s="20">
        <v>3873.33</v>
      </c>
      <c r="H314" s="23">
        <f t="shared" si="28"/>
        <v>-1.7175527245984701E-2</v>
      </c>
      <c r="I314" s="23">
        <f t="shared" si="29"/>
        <v>-3.2095583928780758E-2</v>
      </c>
      <c r="J314" s="23">
        <f t="shared" si="30"/>
        <v>-4.4608472400513466E-2</v>
      </c>
      <c r="K314" s="23">
        <f>E313/100/Inputs!$B$17-'Valuation and Bond'!$B$44*(E314-E313)/100+0.5*'Valuation and Bond'!$B$45*((E314-E313)/100)^2</f>
        <v>-7.1846991716187896E-3</v>
      </c>
      <c r="L314" s="23">
        <f t="shared" si="31"/>
        <v>-4.7704161913378784E-2</v>
      </c>
      <c r="M314" s="23">
        <f t="shared" si="32"/>
        <v>-2.9359599326087674E-2</v>
      </c>
      <c r="N314" s="23">
        <f>SUMPRODUCT(H314:K314,Portfolio!$B$23:$E$23)</f>
        <v>-2.5266070686724429E-2</v>
      </c>
      <c r="O314" s="23">
        <f>SUMPRODUCT(H314:K314,Portfolio!$B$24:$E$24)</f>
        <v>-2.4446150044879426E-2</v>
      </c>
      <c r="Q314" s="21">
        <f t="shared" si="33"/>
        <v>171.61098581789491</v>
      </c>
      <c r="R314" s="21">
        <f t="shared" si="34"/>
        <v>180.8952923594245</v>
      </c>
      <c r="S314" s="22">
        <f>Q314/MAX(Q$6:Q314)-1</f>
        <v>-6.8549320167933581E-2</v>
      </c>
      <c r="T314" s="22">
        <f>R314/MAX(R$6:R314)-1</f>
        <v>-0.18733031484333429</v>
      </c>
    </row>
    <row r="315" spans="1:20" x14ac:dyDescent="0.2">
      <c r="A315" s="18">
        <v>44827</v>
      </c>
      <c r="B315" s="19">
        <v>413.07</v>
      </c>
      <c r="C315" s="19">
        <v>161.29</v>
      </c>
      <c r="D315" s="19">
        <v>58.6</v>
      </c>
      <c r="E315" s="19">
        <v>3.81</v>
      </c>
      <c r="F315" s="20">
        <v>3693.23</v>
      </c>
      <c r="H315" s="23">
        <f t="shared" si="28"/>
        <v>-2.9447971227885006E-3</v>
      </c>
      <c r="I315" s="23">
        <f t="shared" si="29"/>
        <v>-2.4022752027108796E-2</v>
      </c>
      <c r="J315" s="23">
        <f t="shared" si="30"/>
        <v>-1.5787705744037539E-2</v>
      </c>
      <c r="K315" s="23">
        <f>E314/100/Inputs!$B$17-'Valuation and Bond'!$B$44*(E315-E314)/100+0.5*'Valuation and Bond'!$B$45*((E315-E314)/100)^2</f>
        <v>-8.8824604902895867E-3</v>
      </c>
      <c r="L315" s="23">
        <f t="shared" si="31"/>
        <v>-4.6497458259430524E-2</v>
      </c>
      <c r="M315" s="23">
        <f t="shared" si="32"/>
        <v>-1.5422536574385965E-2</v>
      </c>
      <c r="N315" s="23">
        <f>SUMPRODUCT(H315:K315,Portfolio!$B$23:$E$23)</f>
        <v>-1.2909428846056106E-2</v>
      </c>
      <c r="O315" s="23">
        <f>SUMPRODUCT(H315:K315,Portfolio!$B$24:$E$24)</f>
        <v>-1.2460476849137991E-2</v>
      </c>
      <c r="Q315" s="21">
        <f t="shared" si="33"/>
        <v>168.964309112552</v>
      </c>
      <c r="R315" s="21">
        <f t="shared" si="34"/>
        <v>172.48412105361467</v>
      </c>
      <c r="S315" s="22">
        <f>Q315/MAX(Q$6:Q315)-1</f>
        <v>-8.2914652344880269E-2</v>
      </c>
      <c r="T315" s="22">
        <f>R315/MAX(R$6:R315)-1</f>
        <v>-0.22511738960761096</v>
      </c>
    </row>
    <row r="316" spans="1:20" x14ac:dyDescent="0.2">
      <c r="A316" s="18">
        <v>44834</v>
      </c>
      <c r="B316" s="19">
        <v>386.29</v>
      </c>
      <c r="C316" s="19">
        <v>154.78</v>
      </c>
      <c r="D316" s="19">
        <v>56.02</v>
      </c>
      <c r="E316" s="19">
        <v>4.0599999999999996</v>
      </c>
      <c r="F316" s="20">
        <v>3585.62</v>
      </c>
      <c r="H316" s="23">
        <f t="shared" si="28"/>
        <v>-6.4831626600818204E-2</v>
      </c>
      <c r="I316" s="23">
        <f t="shared" si="29"/>
        <v>-4.0362080724161364E-2</v>
      </c>
      <c r="J316" s="23">
        <f t="shared" si="30"/>
        <v>-4.4027303754266223E-2</v>
      </c>
      <c r="K316" s="23">
        <f>E315/100/Inputs!$B$17-'Valuation and Bond'!$B$44*(E316-E315)/100+0.5*'Valuation and Bond'!$B$45*((E316-E315)/100)^2</f>
        <v>-1.0137060987088893E-2</v>
      </c>
      <c r="L316" s="23">
        <f t="shared" si="31"/>
        <v>-2.9137096796029494E-2</v>
      </c>
      <c r="M316" s="23">
        <f t="shared" si="32"/>
        <v>-3.8796304378064292E-2</v>
      </c>
      <c r="N316" s="23">
        <f>SUMPRODUCT(H316:K316,Portfolio!$B$23:$E$23)</f>
        <v>-3.9839518016583669E-2</v>
      </c>
      <c r="O316" s="23">
        <f>SUMPRODUCT(H316:K316,Portfolio!$B$24:$E$24)</f>
        <v>-3.2667608333129955E-2</v>
      </c>
      <c r="Q316" s="21">
        <f t="shared" si="33"/>
        <v>162.40911834719211</v>
      </c>
      <c r="R316" s="21">
        <f t="shared" si="34"/>
        <v>167.45843452269744</v>
      </c>
      <c r="S316" s="22">
        <f>Q316/MAX(Q$6:Q316)-1</f>
        <v>-0.11849417463317113</v>
      </c>
      <c r="T316" s="22">
        <f>R316/MAX(R$6:R316)-1</f>
        <v>-0.24769521923217386</v>
      </c>
    </row>
    <row r="317" spans="1:20" x14ac:dyDescent="0.2">
      <c r="A317" s="18">
        <v>44841</v>
      </c>
      <c r="B317" s="19">
        <v>403.96</v>
      </c>
      <c r="C317" s="19">
        <v>159.28</v>
      </c>
      <c r="D317" s="19">
        <v>54.51</v>
      </c>
      <c r="E317" s="19">
        <v>3.98</v>
      </c>
      <c r="F317" s="20">
        <v>3639.66</v>
      </c>
      <c r="H317" s="23">
        <f t="shared" si="28"/>
        <v>4.5742835693390882E-2</v>
      </c>
      <c r="I317" s="23">
        <f t="shared" si="29"/>
        <v>2.9073523711073745E-2</v>
      </c>
      <c r="J317" s="23">
        <f t="shared" si="30"/>
        <v>-2.6954659050339225E-2</v>
      </c>
      <c r="K317" s="23">
        <f>E316/100/Inputs!$B$17-'Valuation and Bond'!$B$44*(E317-E316)/100+0.5*'Valuation and Bond'!$B$45*((E317-E316)/100)^2</f>
        <v>4.2889391101660797E-3</v>
      </c>
      <c r="L317" s="23">
        <f t="shared" si="31"/>
        <v>1.5071312632124911E-2</v>
      </c>
      <c r="M317" s="23">
        <f t="shared" si="32"/>
        <v>7.4157789465723566E-3</v>
      </c>
      <c r="N317" s="23">
        <f>SUMPRODUCT(H317:K317,Portfolio!$B$23:$E$23)</f>
        <v>1.303765986607287E-2</v>
      </c>
      <c r="O317" s="23">
        <f>SUMPRODUCT(H317:K317,Portfolio!$B$24:$E$24)</f>
        <v>2.3316186839407839E-3</v>
      </c>
      <c r="Q317" s="21">
        <f t="shared" si="33"/>
        <v>163.61350846776259</v>
      </c>
      <c r="R317" s="21">
        <f t="shared" si="34"/>
        <v>169.98225294227524</v>
      </c>
      <c r="S317" s="22">
        <f>Q317/MAX(Q$6:Q317)-1</f>
        <v>-0.11195712229213495</v>
      </c>
      <c r="T317" s="22">
        <f>R317/MAX(R$6:R317)-1</f>
        <v>-0.23635699868657978</v>
      </c>
    </row>
    <row r="318" spans="1:20" x14ac:dyDescent="0.2">
      <c r="A318" s="18">
        <v>44848</v>
      </c>
      <c r="B318" s="19">
        <v>389.41</v>
      </c>
      <c r="C318" s="19">
        <v>148.34</v>
      </c>
      <c r="D318" s="19">
        <v>54.98</v>
      </c>
      <c r="E318" s="19">
        <v>4.18</v>
      </c>
      <c r="F318" s="20">
        <v>3583.07</v>
      </c>
      <c r="H318" s="23">
        <f t="shared" si="28"/>
        <v>-3.6018417665115265E-2</v>
      </c>
      <c r="I318" s="23">
        <f t="shared" si="29"/>
        <v>-6.8684078352586608E-2</v>
      </c>
      <c r="J318" s="23">
        <f t="shared" si="30"/>
        <v>8.6222711429095877E-3</v>
      </c>
      <c r="K318" s="23">
        <f>E317/100/Inputs!$B$17-'Valuation and Bond'!$B$44*(E318-E317)/100+0.5*'Valuation and Bond'!$B$45*((E318-E317)/100)^2</f>
        <v>-7.9417243935717419E-3</v>
      </c>
      <c r="L318" s="23">
        <f t="shared" si="31"/>
        <v>-1.554815559695133E-2</v>
      </c>
      <c r="M318" s="23">
        <f t="shared" si="32"/>
        <v>-2.6116514564963719E-2</v>
      </c>
      <c r="N318" s="23">
        <f>SUMPRODUCT(H318:K318,Portfolio!$B$23:$E$23)</f>
        <v>-2.6005487317091007E-2</v>
      </c>
      <c r="O318" s="23">
        <f>SUMPRODUCT(H318:K318,Portfolio!$B$24:$E$24)</f>
        <v>-1.3992872532241043E-2</v>
      </c>
      <c r="Q318" s="21">
        <f t="shared" si="33"/>
        <v>159.34049389083947</v>
      </c>
      <c r="R318" s="21">
        <f t="shared" si="34"/>
        <v>167.33934242480839</v>
      </c>
      <c r="S318" s="22">
        <f>Q318/MAX(Q$6:Q318)-1</f>
        <v>-0.13514970704210461</v>
      </c>
      <c r="T318" s="22">
        <f>R318/MAX(R$6:R318)-1</f>
        <v>-0.24823023889152385</v>
      </c>
    </row>
    <row r="319" spans="1:20" x14ac:dyDescent="0.2">
      <c r="A319" s="18">
        <v>44855</v>
      </c>
      <c r="B319" s="19">
        <v>454.61</v>
      </c>
      <c r="C319" s="19">
        <v>159.72</v>
      </c>
      <c r="D319" s="19">
        <v>55.96</v>
      </c>
      <c r="E319" s="19">
        <v>4.32</v>
      </c>
      <c r="F319" s="20">
        <v>3752.75</v>
      </c>
      <c r="H319" s="23">
        <f t="shared" si="28"/>
        <v>0.16743278292801933</v>
      </c>
      <c r="I319" s="23">
        <f t="shared" si="29"/>
        <v>7.6715653229068259E-2</v>
      </c>
      <c r="J319" s="23">
        <f t="shared" si="30"/>
        <v>1.7824663514005135E-2</v>
      </c>
      <c r="K319" s="23">
        <f>E318/100/Inputs!$B$17-'Valuation and Bond'!$B$44*(E319-E318)/100+0.5*'Valuation and Bond'!$B$45*((E319-E318)/100)^2</f>
        <v>-5.3006275058536979E-3</v>
      </c>
      <c r="L319" s="23">
        <f t="shared" si="31"/>
        <v>4.7356038257695188E-2</v>
      </c>
      <c r="M319" s="23">
        <f t="shared" si="32"/>
        <v>5.2456707738361086E-2</v>
      </c>
      <c r="N319" s="23">
        <f>SUMPRODUCT(H319:K319,Portfolio!$B$23:$E$23)</f>
        <v>6.4168118041309757E-2</v>
      </c>
      <c r="O319" s="23">
        <f>SUMPRODUCT(H319:K319,Portfolio!$B$24:$E$24)</f>
        <v>3.5656200736802389E-2</v>
      </c>
      <c r="Q319" s="21">
        <f t="shared" si="33"/>
        <v>167.69897160975734</v>
      </c>
      <c r="R319" s="21">
        <f t="shared" si="34"/>
        <v>175.26387072669519</v>
      </c>
      <c r="S319" s="22">
        <f>Q319/MAX(Q$6:Q319)-1</f>
        <v>-8.978250798697629E-2</v>
      </c>
      <c r="T319" s="22">
        <f>R319/MAX(R$6:R319)-1</f>
        <v>-0.2126294013234924</v>
      </c>
    </row>
    <row r="320" spans="1:20" x14ac:dyDescent="0.2">
      <c r="A320" s="18">
        <v>44862</v>
      </c>
      <c r="B320" s="19">
        <v>484.87</v>
      </c>
      <c r="C320" s="19">
        <v>161.36000000000001</v>
      </c>
      <c r="D320" s="19">
        <v>60.76</v>
      </c>
      <c r="E320" s="19">
        <v>4.22</v>
      </c>
      <c r="F320" s="20">
        <v>3901.06</v>
      </c>
      <c r="H320" s="23">
        <f t="shared" si="28"/>
        <v>6.6562548118167308E-2</v>
      </c>
      <c r="I320" s="23">
        <f t="shared" si="29"/>
        <v>1.026796894565507E-2</v>
      </c>
      <c r="J320" s="23">
        <f t="shared" si="30"/>
        <v>8.5775553967119222E-2</v>
      </c>
      <c r="K320" s="23">
        <f>E319/100/Inputs!$B$17-'Valuation and Bond'!$B$44*(E320-E319)/100+0.5*'Valuation and Bond'!$B$45*((E320-E319)/100)^2</f>
        <v>5.218242854641615E-3</v>
      </c>
      <c r="L320" s="23">
        <f t="shared" si="31"/>
        <v>3.9520351742055704E-2</v>
      </c>
      <c r="M320" s="23">
        <f t="shared" si="32"/>
        <v>4.2200865412554404E-2</v>
      </c>
      <c r="N320" s="23">
        <f>SUMPRODUCT(H320:K320,Portfolio!$B$23:$E$23)</f>
        <v>4.1956078471395805E-2</v>
      </c>
      <c r="O320" s="23">
        <f>SUMPRODUCT(H320:K320,Portfolio!$B$24:$E$24)</f>
        <v>4.1078868811356424E-2</v>
      </c>
      <c r="Q320" s="21">
        <f t="shared" si="33"/>
        <v>174.77601334048447</v>
      </c>
      <c r="R320" s="21">
        <f t="shared" si="34"/>
        <v>182.19036054548837</v>
      </c>
      <c r="S320" s="22">
        <f>Q320/MAX(Q$6:Q320)-1</f>
        <v>-5.1370542110382056E-2</v>
      </c>
      <c r="T320" s="22">
        <f>R320/MAX(R$6:R320)-1</f>
        <v>-0.18151223831244379</v>
      </c>
    </row>
    <row r="321" spans="1:20" x14ac:dyDescent="0.2">
      <c r="A321" s="18">
        <v>44869</v>
      </c>
      <c r="B321" s="19">
        <v>481.67</v>
      </c>
      <c r="C321" s="19">
        <v>162.65</v>
      </c>
      <c r="D321" s="19">
        <v>59.26</v>
      </c>
      <c r="E321" s="19">
        <v>4.3099999999999996</v>
      </c>
      <c r="F321" s="20">
        <v>3770.55</v>
      </c>
      <c r="H321" s="23">
        <f t="shared" si="28"/>
        <v>-6.5997071379957362E-3</v>
      </c>
      <c r="I321" s="23">
        <f t="shared" si="29"/>
        <v>7.9945463559740748E-3</v>
      </c>
      <c r="J321" s="23">
        <f t="shared" si="30"/>
        <v>-2.4687294272547677E-2</v>
      </c>
      <c r="K321" s="23">
        <f>E320/100/Inputs!$B$17-'Valuation and Bond'!$B$44*(E321-E320)/100+0.5*'Valuation and Bond'!$B$45*((E321-E320)/100)^2</f>
        <v>-3.1178539018919763E-3</v>
      </c>
      <c r="L321" s="23">
        <f t="shared" si="31"/>
        <v>-3.3455009664040025E-2</v>
      </c>
      <c r="M321" s="23">
        <f t="shared" si="32"/>
        <v>-7.1917934956762268E-3</v>
      </c>
      <c r="N321" s="23">
        <f>SUMPRODUCT(H321:K321,Portfolio!$B$23:$E$23)</f>
        <v>-6.6025772391153283E-3</v>
      </c>
      <c r="O321" s="23">
        <f>SUMPRODUCT(H321:K321,Portfolio!$B$24:$E$24)</f>
        <v>-9.40095244342537E-3</v>
      </c>
      <c r="Q321" s="21">
        <f t="shared" si="33"/>
        <v>173.51906034454214</v>
      </c>
      <c r="R321" s="21">
        <f t="shared" si="34"/>
        <v>176.09518027274413</v>
      </c>
      <c r="S321" s="22">
        <f>Q321/MAX(Q$6:Q321)-1</f>
        <v>-5.819288927543953E-2</v>
      </c>
      <c r="T321" s="22">
        <f>R321/MAX(R$6:R321)-1</f>
        <v>-0.20889475428959947</v>
      </c>
    </row>
    <row r="322" spans="1:20" x14ac:dyDescent="0.2">
      <c r="A322" s="18">
        <v>44876</v>
      </c>
      <c r="B322" s="19">
        <v>463.86</v>
      </c>
      <c r="C322" s="19">
        <v>179.49</v>
      </c>
      <c r="D322" s="19">
        <v>61.32</v>
      </c>
      <c r="E322" s="19">
        <v>4.2300000000000004</v>
      </c>
      <c r="F322" s="20">
        <v>3992.93</v>
      </c>
      <c r="H322" s="23">
        <f t="shared" si="28"/>
        <v>-3.6975522660742888E-2</v>
      </c>
      <c r="I322" s="23">
        <f t="shared" si="29"/>
        <v>0.10353519827851221</v>
      </c>
      <c r="J322" s="23">
        <f t="shared" si="30"/>
        <v>3.4762065474181592E-2</v>
      </c>
      <c r="K322" s="23">
        <f>E321/100/Inputs!$B$17-'Valuation and Bond'!$B$44*(E322-E321)/100+0.5*'Valuation and Bond'!$B$45*((E322-E321)/100)^2</f>
        <v>4.3370160332429838E-3</v>
      </c>
      <c r="L322" s="23">
        <f t="shared" si="31"/>
        <v>5.8978133163596791E-2</v>
      </c>
      <c r="M322" s="23">
        <f t="shared" si="32"/>
        <v>4.1866958983545484E-2</v>
      </c>
      <c r="N322" s="23">
        <f>SUMPRODUCT(H322:K322,Portfolio!$B$23:$E$23)</f>
        <v>2.6414689281298476E-2</v>
      </c>
      <c r="O322" s="23">
        <f>SUMPRODUCT(H322:K322,Portfolio!$B$24:$E$24)</f>
        <v>2.2450633370507754E-2</v>
      </c>
      <c r="Q322" s="21">
        <f t="shared" si="33"/>
        <v>180.78377572685042</v>
      </c>
      <c r="R322" s="21">
        <f t="shared" si="34"/>
        <v>186.48094526433761</v>
      </c>
      <c r="S322" s="22">
        <f>Q322/MAX(Q$6:Q322)-1</f>
        <v>-1.876228960032289E-2</v>
      </c>
      <c r="T322" s="22">
        <f>R322/MAX(R$6:R322)-1</f>
        <v>-0.16223684376167147</v>
      </c>
    </row>
    <row r="323" spans="1:20" x14ac:dyDescent="0.2">
      <c r="A323" s="18">
        <v>44883</v>
      </c>
      <c r="B323" s="19">
        <v>476.82</v>
      </c>
      <c r="C323" s="19">
        <v>175.18</v>
      </c>
      <c r="D323" s="19">
        <v>61.14</v>
      </c>
      <c r="E323" s="19">
        <v>3.94</v>
      </c>
      <c r="F323" s="20">
        <v>3965.34</v>
      </c>
      <c r="H323" s="23">
        <f t="shared" si="28"/>
        <v>2.7939464493597077E-2</v>
      </c>
      <c r="I323" s="23">
        <f t="shared" si="29"/>
        <v>-2.4012479803888764E-2</v>
      </c>
      <c r="J323" s="23">
        <f t="shared" si="30"/>
        <v>-2.9354207436399493E-3</v>
      </c>
      <c r="K323" s="23">
        <f>E322/100/Inputs!$B$17-'Valuation and Bond'!$B$44*(E323-E322)/100+0.5*'Valuation and Bond'!$B$45*((E323-E322)/100)^2</f>
        <v>1.359943316364538E-2</v>
      </c>
      <c r="L323" s="23">
        <f t="shared" si="31"/>
        <v>-6.9097129175818006E-3</v>
      </c>
      <c r="M323" s="23">
        <f t="shared" si="32"/>
        <v>-2.4929571581310877E-3</v>
      </c>
      <c r="N323" s="23">
        <f>SUMPRODUCT(H323:K323,Portfolio!$B$23:$E$23)</f>
        <v>3.6477492774284357E-3</v>
      </c>
      <c r="O323" s="23">
        <f>SUMPRODUCT(H323:K323,Portfolio!$B$24:$E$24)</f>
        <v>4.8676909067770918E-3</v>
      </c>
      <c r="Q323" s="21">
        <f t="shared" si="33"/>
        <v>180.33308951907819</v>
      </c>
      <c r="R323" s="21">
        <f t="shared" si="34"/>
        <v>185.19241546796175</v>
      </c>
      <c r="S323" s="22">
        <f>Q323/MAX(Q$6:Q323)-1</f>
        <v>-2.1208473174292086E-2</v>
      </c>
      <c r="T323" s="22">
        <f>R323/MAX(R$6:R323)-1</f>
        <v>-0.16802554666420555</v>
      </c>
    </row>
    <row r="324" spans="1:20" x14ac:dyDescent="0.2">
      <c r="A324" s="18">
        <v>44890</v>
      </c>
      <c r="B324" s="19">
        <v>483.46</v>
      </c>
      <c r="C324" s="19">
        <v>177.07</v>
      </c>
      <c r="D324" s="19">
        <v>62.69</v>
      </c>
      <c r="E324" s="19">
        <v>3.91</v>
      </c>
      <c r="F324" s="20">
        <v>4026.12</v>
      </c>
      <c r="H324" s="23">
        <f t="shared" si="28"/>
        <v>1.3925590369531449E-2</v>
      </c>
      <c r="I324" s="23">
        <f t="shared" si="29"/>
        <v>1.0788902842790105E-2</v>
      </c>
      <c r="J324" s="23">
        <f t="shared" si="30"/>
        <v>2.5351651946352582E-2</v>
      </c>
      <c r="K324" s="23">
        <f>E323/100/Inputs!$B$17-'Valuation and Bond'!$B$44*(E324-E323)/100+0.5*'Valuation and Bond'!$B$45*((E324-E323)/100)^2</f>
        <v>2.0715600564964148E-3</v>
      </c>
      <c r="L324" s="23">
        <f t="shared" si="31"/>
        <v>1.5327815521493759E-2</v>
      </c>
      <c r="M324" s="23">
        <f t="shared" si="32"/>
        <v>1.4375973205276931E-2</v>
      </c>
      <c r="N324" s="23">
        <f>SUMPRODUCT(H324:K324,Portfolio!$B$23:$E$23)</f>
        <v>1.3034426303792637E-2</v>
      </c>
      <c r="O324" s="23">
        <f>SUMPRODUCT(H324:K324,Portfolio!$B$24:$E$24)</f>
        <v>1.2638687871846199E-2</v>
      </c>
      <c r="Q324" s="21">
        <f t="shared" si="33"/>
        <v>182.92555318202923</v>
      </c>
      <c r="R324" s="21">
        <f t="shared" si="34"/>
        <v>188.03101064823448</v>
      </c>
      <c r="S324" s="22">
        <f>Q324/MAX(Q$6:Q324)-1</f>
        <v>-7.1373924110937903E-3</v>
      </c>
      <c r="T324" s="22">
        <f>R324/MAX(R$6:R324)-1</f>
        <v>-0.15527319572487897</v>
      </c>
    </row>
    <row r="325" spans="1:20" x14ac:dyDescent="0.2">
      <c r="A325" s="18">
        <v>44897</v>
      </c>
      <c r="B325" s="19">
        <v>496.23</v>
      </c>
      <c r="C325" s="19">
        <v>177.66</v>
      </c>
      <c r="D325" s="19">
        <v>64.349999999999994</v>
      </c>
      <c r="E325" s="19">
        <v>3.79</v>
      </c>
      <c r="F325" s="20">
        <v>4071.7</v>
      </c>
      <c r="H325" s="23">
        <f t="shared" si="28"/>
        <v>2.6413767426467727E-2</v>
      </c>
      <c r="I325" s="23">
        <f t="shared" si="29"/>
        <v>3.3320155870559809E-3</v>
      </c>
      <c r="J325" s="23">
        <f t="shared" si="30"/>
        <v>2.6479502312968473E-2</v>
      </c>
      <c r="K325" s="23">
        <f>E324/100/Inputs!$B$17-'Valuation and Bond'!$B$44*(E325-E324)/100+0.5*'Valuation and Bond'!$B$45*((E325-E324)/100)^2</f>
        <v>6.0196049551214485E-3</v>
      </c>
      <c r="L325" s="23">
        <f t="shared" si="31"/>
        <v>1.1321073390758274E-2</v>
      </c>
      <c r="M325" s="23">
        <f t="shared" si="32"/>
        <v>1.4740142349386599E-2</v>
      </c>
      <c r="N325" s="23">
        <f>SUMPRODUCT(H325:K325,Portfolio!$B$23:$E$23)</f>
        <v>1.5561222570403408E-2</v>
      </c>
      <c r="O325" s="23">
        <f>SUMPRODUCT(H325:K325,Portfolio!$B$24:$E$24)</f>
        <v>1.5222342900448903E-2</v>
      </c>
      <c r="Q325" s="21">
        <f t="shared" si="33"/>
        <v>185.62190187527264</v>
      </c>
      <c r="R325" s="21">
        <f t="shared" si="34"/>
        <v>190.15972351952161</v>
      </c>
      <c r="S325" s="22">
        <f>Q325/MAX(Q$6:Q325)-1</f>
        <v>0</v>
      </c>
      <c r="T325" s="22">
        <f>R325/MAX(R$6:R325)-1</f>
        <v>-0.14570998157853954</v>
      </c>
    </row>
    <row r="326" spans="1:20" x14ac:dyDescent="0.2">
      <c r="A326" s="18">
        <v>44904</v>
      </c>
      <c r="B326" s="19">
        <v>483.58</v>
      </c>
      <c r="C326" s="19">
        <v>174.26</v>
      </c>
      <c r="D326" s="19">
        <v>63.14</v>
      </c>
      <c r="E326" s="19">
        <v>3.72</v>
      </c>
      <c r="F326" s="20">
        <v>3934.38</v>
      </c>
      <c r="H326" s="23">
        <f t="shared" si="28"/>
        <v>-2.54922112729985E-2</v>
      </c>
      <c r="I326" s="23">
        <f t="shared" si="29"/>
        <v>-1.9137678712146777E-2</v>
      </c>
      <c r="J326" s="23">
        <f t="shared" si="30"/>
        <v>-1.8803418803418737E-2</v>
      </c>
      <c r="K326" s="23">
        <f>E325/100/Inputs!$B$17-'Valuation and Bond'!$B$44*(E326-E325)/100+0.5*'Valuation and Bond'!$B$45*((E326-E325)/100)^2</f>
        <v>3.7977033521992072E-3</v>
      </c>
      <c r="L326" s="23">
        <f t="shared" si="31"/>
        <v>-3.3725470933516632E-2</v>
      </c>
      <c r="M326" s="23">
        <f t="shared" si="32"/>
        <v>-1.5279765144394719E-2</v>
      </c>
      <c r="N326" s="23">
        <f>SUMPRODUCT(H326:K326,Portfolio!$B$23:$E$23)</f>
        <v>-1.4908901359091202E-2</v>
      </c>
      <c r="O326" s="23">
        <f>SUMPRODUCT(H326:K326,Portfolio!$B$24:$E$24)</f>
        <v>-1.0669411302415983E-2</v>
      </c>
      <c r="Q326" s="21">
        <f t="shared" si="33"/>
        <v>182.78564280896259</v>
      </c>
      <c r="R326" s="21">
        <f t="shared" si="34"/>
        <v>183.74649729123843</v>
      </c>
      <c r="S326" s="22">
        <f>Q326/MAX(Q$6:Q326)-1</f>
        <v>-1.5279765144394775E-2</v>
      </c>
      <c r="T326" s="22">
        <f>R326/MAX(R$6:R326)-1</f>
        <v>-0.17452131476360588</v>
      </c>
    </row>
    <row r="327" spans="1:20" x14ac:dyDescent="0.2">
      <c r="A327" s="18">
        <v>44911</v>
      </c>
      <c r="B327" s="19">
        <v>481.79</v>
      </c>
      <c r="C327" s="19">
        <v>169.55</v>
      </c>
      <c r="D327" s="19">
        <v>62.75</v>
      </c>
      <c r="E327" s="19">
        <v>3.67</v>
      </c>
      <c r="F327" s="20">
        <v>3852.36</v>
      </c>
      <c r="H327" s="23">
        <f t="shared" ref="H327:H390" si="35">B327/B326-1</f>
        <v>-3.7015592042680678E-3</v>
      </c>
      <c r="I327" s="23">
        <f t="shared" ref="I327:I390" si="36">C327/C326-1</f>
        <v>-2.7028577986915936E-2</v>
      </c>
      <c r="J327" s="23">
        <f t="shared" ref="J327:J390" si="37">D327/D326-1</f>
        <v>-6.1767500791891639E-3</v>
      </c>
      <c r="K327" s="23">
        <f>E326/100/Inputs!$B$17-'Valuation and Bond'!$B$44*(E327-E326)/100+0.5*'Valuation and Bond'!$B$45*((E327-E326)/100)^2</f>
        <v>2.90629483403796E-3</v>
      </c>
      <c r="L327" s="23">
        <f t="shared" ref="L327:L390" si="38">F327/F326-1</f>
        <v>-2.0846994952190667E-2</v>
      </c>
      <c r="M327" s="23">
        <f t="shared" ref="M327:M390" si="39">SUMPRODUCT(H327:K327,$H$4:$K$4)</f>
        <v>-1.091328151516653E-2</v>
      </c>
      <c r="N327" s="23">
        <f>SUMPRODUCT(H327:K327,Portfolio!$B$23:$E$23)</f>
        <v>-8.5001481090838018E-3</v>
      </c>
      <c r="O327" s="23">
        <f>SUMPRODUCT(H327:K327,Portfolio!$B$24:$E$24)</f>
        <v>-4.985262025104009E-3</v>
      </c>
      <c r="Q327" s="21">
        <f t="shared" ref="Q327:Q390" si="40">Q326*(1+M327)</f>
        <v>180.7908516320577</v>
      </c>
      <c r="R327" s="21">
        <f t="shared" ref="R327:R390" si="41">R326*(1+L327)</f>
        <v>179.91593498972526</v>
      </c>
      <c r="S327" s="22">
        <f>Q327/MAX(Q$6:Q327)-1</f>
        <v>-2.6026294281054962E-2</v>
      </c>
      <c r="T327" s="22">
        <f>R327/MAX(R$6:R327)-1</f>
        <v>-0.19173006474787002</v>
      </c>
    </row>
    <row r="328" spans="1:20" x14ac:dyDescent="0.2">
      <c r="A328" s="18">
        <v>44918</v>
      </c>
      <c r="B328" s="19">
        <v>483.29</v>
      </c>
      <c r="C328" s="19">
        <v>164.38</v>
      </c>
      <c r="D328" s="19">
        <v>63.82</v>
      </c>
      <c r="E328" s="19">
        <v>3.78</v>
      </c>
      <c r="F328" s="20">
        <v>3844.82</v>
      </c>
      <c r="H328" s="23">
        <f t="shared" si="35"/>
        <v>3.1133896510928682E-3</v>
      </c>
      <c r="I328" s="23">
        <f t="shared" si="36"/>
        <v>-3.0492480094367558E-2</v>
      </c>
      <c r="J328" s="23">
        <f t="shared" si="37"/>
        <v>1.7051792828685297E-2</v>
      </c>
      <c r="K328" s="23">
        <f>E327/100/Inputs!$B$17-'Valuation and Bond'!$B$44*(E328-E327)/100+0.5*'Valuation and Bond'!$B$45*((E328-E327)/100)^2</f>
        <v>-4.0943340335568446E-3</v>
      </c>
      <c r="L328" s="23">
        <f t="shared" si="38"/>
        <v>-1.9572417946401854E-3</v>
      </c>
      <c r="M328" s="23">
        <f t="shared" si="39"/>
        <v>-4.7138810294015702E-3</v>
      </c>
      <c r="N328" s="23">
        <f>SUMPRODUCT(H328:K328,Portfolio!$B$23:$E$23)</f>
        <v>-3.6054079120365593E-3</v>
      </c>
      <c r="O328" s="23">
        <f>SUMPRODUCT(H328:K328,Portfolio!$B$24:$E$24)</f>
        <v>5.0182017918457846E-4</v>
      </c>
      <c r="Q328" s="21">
        <f t="shared" si="40"/>
        <v>179.93862506625999</v>
      </c>
      <c r="R328" s="21">
        <f t="shared" si="41"/>
        <v>179.56379600224159</v>
      </c>
      <c r="S328" s="22">
        <f>Q328/MAX(Q$6:Q328)-1</f>
        <v>-3.0617490455579377E-2</v>
      </c>
      <c r="T328" s="22">
        <f>R328/MAX(R$6:R328)-1</f>
        <v>-0.19331204444649663</v>
      </c>
    </row>
    <row r="329" spans="1:20" x14ac:dyDescent="0.2">
      <c r="A329" s="18">
        <v>44925</v>
      </c>
      <c r="B329" s="19">
        <v>486.49</v>
      </c>
      <c r="C329" s="19">
        <v>165.22</v>
      </c>
      <c r="D329" s="19">
        <v>63.61</v>
      </c>
      <c r="E329" s="19">
        <v>3.96</v>
      </c>
      <c r="F329" s="20">
        <v>3839.5</v>
      </c>
      <c r="H329" s="23">
        <f t="shared" si="35"/>
        <v>6.621283287467028E-3</v>
      </c>
      <c r="I329" s="23">
        <f t="shared" si="36"/>
        <v>5.1101107190656414E-3</v>
      </c>
      <c r="J329" s="23">
        <f t="shared" si="37"/>
        <v>-3.2905045440301262E-3</v>
      </c>
      <c r="K329" s="23">
        <f>E328/100/Inputs!$B$17-'Valuation and Bond'!$B$44*(E329-E328)/100+0.5*'Valuation and Bond'!$B$45*((E329-E328)/100)^2</f>
        <v>-7.113545325464962E-3</v>
      </c>
      <c r="L329" s="23">
        <f t="shared" si="38"/>
        <v>-1.3836798601755129E-3</v>
      </c>
      <c r="M329" s="23">
        <f t="shared" si="39"/>
        <v>3.0402224177882974E-5</v>
      </c>
      <c r="N329" s="23">
        <f>SUMPRODUCT(H329:K329,Portfolio!$B$23:$E$23)</f>
        <v>3.318360342593953E-4</v>
      </c>
      <c r="O329" s="23">
        <f>SUMPRODUCT(H329:K329,Portfolio!$B$24:$E$24)</f>
        <v>-2.4298499442901985E-3</v>
      </c>
      <c r="Q329" s="21">
        <f t="shared" si="40"/>
        <v>179.94409560067751</v>
      </c>
      <c r="R329" s="21">
        <f t="shared" si="41"/>
        <v>179.31533719409663</v>
      </c>
      <c r="S329" s="22">
        <f>Q329/MAX(Q$6:Q329)-1</f>
        <v>-3.0588019071210115E-2</v>
      </c>
      <c r="T329" s="22">
        <f>R329/MAX(R$6:R329)-1</f>
        <v>-0.19442824232404221</v>
      </c>
    </row>
    <row r="330" spans="1:20" x14ac:dyDescent="0.2">
      <c r="A330" s="18">
        <v>44932</v>
      </c>
      <c r="B330" s="19">
        <v>473.24</v>
      </c>
      <c r="C330" s="19">
        <v>175.16</v>
      </c>
      <c r="D330" s="19">
        <v>63.4</v>
      </c>
      <c r="E330" s="19">
        <v>3.85</v>
      </c>
      <c r="F330" s="20">
        <v>3895.08</v>
      </c>
      <c r="H330" s="23">
        <f t="shared" si="35"/>
        <v>-2.7235914407284789E-2</v>
      </c>
      <c r="I330" s="23">
        <f t="shared" si="36"/>
        <v>6.0162207965137382E-2</v>
      </c>
      <c r="J330" s="23">
        <f t="shared" si="37"/>
        <v>-3.3013677094796412E-3</v>
      </c>
      <c r="K330" s="23">
        <f>E329/100/Inputs!$B$17-'Valuation and Bond'!$B$44*(E330-E329)/100+0.5*'Valuation and Bond'!$B$45*((E330-E329)/100)^2</f>
        <v>5.5890031488425064E-3</v>
      </c>
      <c r="L330" s="23">
        <f t="shared" si="38"/>
        <v>1.447584320875106E-2</v>
      </c>
      <c r="M330" s="23">
        <f t="shared" si="39"/>
        <v>1.6248358997349222E-2</v>
      </c>
      <c r="N330" s="23">
        <f>SUMPRODUCT(H330:K330,Portfolio!$B$23:$E$23)</f>
        <v>8.8034822493038636E-3</v>
      </c>
      <c r="O330" s="23">
        <f>SUMPRODUCT(H330:K330,Portfolio!$B$24:$E$24)</f>
        <v>5.5721949838214279E-3</v>
      </c>
      <c r="Q330" s="21">
        <f t="shared" si="40"/>
        <v>182.86789186545064</v>
      </c>
      <c r="R330" s="21">
        <f t="shared" si="41"/>
        <v>181.9110779002427</v>
      </c>
      <c r="S330" s="22">
        <f>Q330/MAX(Q$6:Q330)-1</f>
        <v>-1.4836665188747711E-2</v>
      </c>
      <c r="T330" s="22">
        <f>R330/MAX(R$6:R330)-1</f>
        <v>-0.18276691186652694</v>
      </c>
    </row>
    <row r="331" spans="1:20" x14ac:dyDescent="0.2">
      <c r="A331" s="18">
        <v>44939</v>
      </c>
      <c r="B331" s="19">
        <v>449.83</v>
      </c>
      <c r="C331" s="19">
        <v>179.01</v>
      </c>
      <c r="D331" s="19">
        <v>61.43</v>
      </c>
      <c r="E331" s="19">
        <v>3.63</v>
      </c>
      <c r="F331" s="20">
        <v>3999.09</v>
      </c>
      <c r="H331" s="23">
        <f t="shared" si="35"/>
        <v>-4.9467500633927908E-2</v>
      </c>
      <c r="I331" s="23">
        <f t="shared" si="36"/>
        <v>2.1979904087691127E-2</v>
      </c>
      <c r="J331" s="23">
        <f t="shared" si="37"/>
        <v>-3.1072555205047259E-2</v>
      </c>
      <c r="K331" s="23">
        <f>E330/100/Inputs!$B$17-'Valuation and Bond'!$B$44*(E331-E330)/100+0.5*'Valuation and Bond'!$B$45*((E331-E330)/100)^2</f>
        <v>1.0422675412970695E-2</v>
      </c>
      <c r="L331" s="23">
        <f t="shared" si="38"/>
        <v>2.6702917526726155E-2</v>
      </c>
      <c r="M331" s="23">
        <f t="shared" si="39"/>
        <v>-7.7035277841666873E-3</v>
      </c>
      <c r="N331" s="23">
        <f>SUMPRODUCT(H331:K331,Portfolio!$B$23:$E$23)</f>
        <v>-1.2034369084578337E-2</v>
      </c>
      <c r="O331" s="23">
        <f>SUMPRODUCT(H331:K331,Portfolio!$B$24:$E$24)</f>
        <v>-9.8214258132642302E-3</v>
      </c>
      <c r="Q331" s="21">
        <f t="shared" si="40"/>
        <v>181.45916397963316</v>
      </c>
      <c r="R331" s="21">
        <f t="shared" si="41"/>
        <v>186.76863441061073</v>
      </c>
      <c r="S331" s="22">
        <f>Q331/MAX(Q$6:Q331)-1</f>
        <v>-2.2425898310408421E-2</v>
      </c>
      <c r="T331" s="22">
        <f>R331/MAX(R$6:R331)-1</f>
        <v>-0.16094440411398714</v>
      </c>
    </row>
    <row r="332" spans="1:20" x14ac:dyDescent="0.2">
      <c r="A332" s="18">
        <v>44946</v>
      </c>
      <c r="B332" s="19">
        <v>443.28</v>
      </c>
      <c r="C332" s="19">
        <v>173</v>
      </c>
      <c r="D332" s="19">
        <v>60.08</v>
      </c>
      <c r="E332" s="19">
        <v>3.52</v>
      </c>
      <c r="F332" s="20">
        <v>3972.61</v>
      </c>
      <c r="H332" s="23">
        <f t="shared" si="35"/>
        <v>-1.4561056399084116E-2</v>
      </c>
      <c r="I332" s="23">
        <f t="shared" si="36"/>
        <v>-3.3573543377464876E-2</v>
      </c>
      <c r="J332" s="23">
        <f t="shared" si="37"/>
        <v>-2.1976233110857946E-2</v>
      </c>
      <c r="K332" s="23">
        <f>E331/100/Inputs!$B$17-'Valuation and Bond'!$B$44*(E332-E331)/100+0.5*'Valuation and Bond'!$B$45*((E332-E331)/100)^2</f>
        <v>5.5255416103809673E-3</v>
      </c>
      <c r="L332" s="23">
        <f t="shared" si="38"/>
        <v>-6.6215063927043127E-3</v>
      </c>
      <c r="M332" s="23">
        <f t="shared" si="39"/>
        <v>-1.932047964028042E-2</v>
      </c>
      <c r="N332" s="23">
        <f>SUMPRODUCT(H332:K332,Portfolio!$B$23:$E$23)</f>
        <v>-1.6146322819256494E-2</v>
      </c>
      <c r="O332" s="23">
        <f>SUMPRODUCT(H332:K332,Portfolio!$B$24:$E$24)</f>
        <v>-1.1555190823513492E-2</v>
      </c>
      <c r="Q332" s="21">
        <f t="shared" si="40"/>
        <v>177.95328589642236</v>
      </c>
      <c r="R332" s="21">
        <f t="shared" si="41"/>
        <v>185.53194470390423</v>
      </c>
      <c r="S332" s="22">
        <f>Q332/MAX(Q$6:Q332)-1</f>
        <v>-4.131309883896761E-2</v>
      </c>
      <c r="T332" s="22">
        <f>R332/MAX(R$6:R332)-1</f>
        <v>-0.16650021610598065</v>
      </c>
    </row>
    <row r="333" spans="1:20" x14ac:dyDescent="0.2">
      <c r="A333" s="18">
        <v>44953</v>
      </c>
      <c r="B333" s="19">
        <v>459.6</v>
      </c>
      <c r="C333" s="19">
        <v>175.24</v>
      </c>
      <c r="D333" s="19">
        <v>60.49</v>
      </c>
      <c r="E333" s="19">
        <v>3.59</v>
      </c>
      <c r="F333" s="20">
        <v>4070.56</v>
      </c>
      <c r="H333" s="23">
        <f t="shared" si="35"/>
        <v>3.6816459122902101E-2</v>
      </c>
      <c r="I333" s="23">
        <f t="shared" si="36"/>
        <v>1.294797687861271E-2</v>
      </c>
      <c r="J333" s="23">
        <f t="shared" si="37"/>
        <v>6.8242343541944361E-3</v>
      </c>
      <c r="K333" s="23">
        <f>E332/100/Inputs!$B$17-'Valuation and Bond'!$B$44*(E333-E332)/100+0.5*'Valuation and Bond'!$B$45*((E333-E332)/100)^2</f>
        <v>-2.3808538757612119E-3</v>
      </c>
      <c r="L333" s="23">
        <f t="shared" si="38"/>
        <v>2.4656334248768452E-2</v>
      </c>
      <c r="M333" s="23">
        <f t="shared" si="39"/>
        <v>1.0978021523115103E-2</v>
      </c>
      <c r="N333" s="23">
        <f>SUMPRODUCT(H333:K333,Portfolio!$B$23:$E$23)</f>
        <v>1.355195411998701E-2</v>
      </c>
      <c r="O333" s="23">
        <f>SUMPRODUCT(H333:K333,Portfolio!$B$24:$E$24)</f>
        <v>7.8189803451315723E-3</v>
      </c>
      <c r="Q333" s="21">
        <f t="shared" si="40"/>
        <v>179.90686089910233</v>
      </c>
      <c r="R333" s="21">
        <f t="shared" si="41"/>
        <v>190.10648234634772</v>
      </c>
      <c r="S333" s="22">
        <f>Q333/MAX(Q$6:Q333)-1</f>
        <v>-3.0788613404093335E-2</v>
      </c>
      <c r="T333" s="22">
        <f>R333/MAX(R$6:R333)-1</f>
        <v>-0.14594916683801351</v>
      </c>
    </row>
    <row r="334" spans="1:20" x14ac:dyDescent="0.2">
      <c r="A334" s="18">
        <v>44960</v>
      </c>
      <c r="B334" s="19">
        <v>459.08</v>
      </c>
      <c r="C334" s="19">
        <v>182.29</v>
      </c>
      <c r="D334" s="19">
        <v>59.83</v>
      </c>
      <c r="E334" s="19">
        <v>3.59</v>
      </c>
      <c r="F334" s="20">
        <v>4136.4799999999996</v>
      </c>
      <c r="H334" s="23">
        <f t="shared" si="35"/>
        <v>-1.1314186248913005E-3</v>
      </c>
      <c r="I334" s="23">
        <f t="shared" si="36"/>
        <v>4.0230540972380657E-2</v>
      </c>
      <c r="J334" s="23">
        <f t="shared" si="37"/>
        <v>-1.0910894362704648E-2</v>
      </c>
      <c r="K334" s="23">
        <f>E333/100/Inputs!$B$17-'Valuation and Bond'!$B$44*(E334-E333)/100+0.5*'Valuation and Bond'!$B$45*((E334-E333)/100)^2</f>
        <v>6.9038461538461539E-4</v>
      </c>
      <c r="L334" s="23">
        <f t="shared" si="38"/>
        <v>1.6194331983805599E-2</v>
      </c>
      <c r="M334" s="23">
        <f t="shared" si="39"/>
        <v>9.5818156287516242E-3</v>
      </c>
      <c r="N334" s="23">
        <f>SUMPRODUCT(H334:K334,Portfolio!$B$23:$E$23)</f>
        <v>7.2196531500423313E-3</v>
      </c>
      <c r="O334" s="23">
        <f>SUMPRODUCT(H334:K334,Portfolio!$B$24:$E$24)</f>
        <v>1.7613176895004915E-3</v>
      </c>
      <c r="Q334" s="21">
        <f t="shared" si="40"/>
        <v>181.63069527058499</v>
      </c>
      <c r="R334" s="21">
        <f t="shared" si="41"/>
        <v>193.18512983373796</v>
      </c>
      <c r="S334" s="22">
        <f>Q334/MAX(Q$6:Q334)-1</f>
        <v>-2.150180859244466E-2</v>
      </c>
      <c r="T334" s="22">
        <f>R334/MAX(R$6:R334)-1</f>
        <v>-0.13211838411474242</v>
      </c>
    </row>
    <row r="335" spans="1:20" x14ac:dyDescent="0.2">
      <c r="A335" s="18">
        <v>44967</v>
      </c>
      <c r="B335" s="19">
        <v>480.83</v>
      </c>
      <c r="C335" s="19">
        <v>175.79</v>
      </c>
      <c r="D335" s="19">
        <v>59.62</v>
      </c>
      <c r="E335" s="19">
        <v>3.86</v>
      </c>
      <c r="F335" s="20">
        <v>4090.46</v>
      </c>
      <c r="H335" s="23">
        <f t="shared" si="35"/>
        <v>4.737736342249721E-2</v>
      </c>
      <c r="I335" s="23">
        <f t="shared" si="36"/>
        <v>-3.5657468868286801E-2</v>
      </c>
      <c r="J335" s="23">
        <f t="shared" si="37"/>
        <v>-3.5099448437239111E-3</v>
      </c>
      <c r="K335" s="23">
        <f>E334/100/Inputs!$B$17-'Valuation and Bond'!$B$44*(E335-E334)/100+0.5*'Valuation and Bond'!$B$45*((E335-E334)/100)^2</f>
        <v>-1.1042843501488151E-2</v>
      </c>
      <c r="L335" s="23">
        <f t="shared" si="38"/>
        <v>-1.1125401307391702E-2</v>
      </c>
      <c r="M335" s="23">
        <f t="shared" si="39"/>
        <v>-8.8826391581082135E-3</v>
      </c>
      <c r="N335" s="23">
        <f>SUMPRODUCT(H335:K335,Portfolio!$B$23:$E$23)</f>
        <v>-7.0822344775041358E-4</v>
      </c>
      <c r="O335" s="23">
        <f>SUMPRODUCT(H335:K335,Portfolio!$B$24:$E$24)</f>
        <v>-4.2200624521658318E-3</v>
      </c>
      <c r="Q335" s="21">
        <f t="shared" si="40"/>
        <v>180.01733534446009</v>
      </c>
      <c r="R335" s="21">
        <f t="shared" si="41"/>
        <v>191.03586773771707</v>
      </c>
      <c r="S335" s="22">
        <f>Q335/MAX(Q$6:Q335)-1</f>
        <v>-3.0193454943579279E-2</v>
      </c>
      <c r="T335" s="22">
        <f>R335/MAX(R$6:R335)-1</f>
        <v>-0.14177391537877349</v>
      </c>
    </row>
    <row r="336" spans="1:20" x14ac:dyDescent="0.2">
      <c r="A336" s="18">
        <v>44974</v>
      </c>
      <c r="B336" s="19">
        <v>475.63</v>
      </c>
      <c r="C336" s="19">
        <v>175.32</v>
      </c>
      <c r="D336" s="19">
        <v>60.12</v>
      </c>
      <c r="E336" s="19">
        <v>4.01</v>
      </c>
      <c r="F336" s="20">
        <v>4079.09</v>
      </c>
      <c r="H336" s="23">
        <f t="shared" si="35"/>
        <v>-1.081463303038499E-2</v>
      </c>
      <c r="I336" s="23">
        <f t="shared" si="36"/>
        <v>-2.6736446896865607E-3</v>
      </c>
      <c r="J336" s="23">
        <f t="shared" si="37"/>
        <v>8.3864475008386119E-3</v>
      </c>
      <c r="K336" s="23">
        <f>E335/100/Inputs!$B$17-'Valuation and Bond'!$B$44*(E336-E335)/100+0.5*'Valuation and Bond'!$B$45*((E336-E335)/100)^2</f>
        <v>-5.7965038442581249E-3</v>
      </c>
      <c r="L336" s="23">
        <f t="shared" si="38"/>
        <v>-2.7796384758682624E-3</v>
      </c>
      <c r="M336" s="23">
        <f t="shared" si="39"/>
        <v>-6.4411636144116923E-4</v>
      </c>
      <c r="N336" s="23">
        <f>SUMPRODUCT(H336:K336,Portfolio!$B$23:$E$23)</f>
        <v>-2.724583515872766E-3</v>
      </c>
      <c r="O336" s="23">
        <f>SUMPRODUCT(H336:K336,Portfolio!$B$24:$E$24)</f>
        <v>-1.2261085237003377E-3</v>
      </c>
      <c r="Q336" s="21">
        <f t="shared" si="40"/>
        <v>179.90138323342168</v>
      </c>
      <c r="R336" s="21">
        <f t="shared" si="41"/>
        <v>190.50485708948244</v>
      </c>
      <c r="S336" s="22">
        <f>Q336/MAX(Q$6:Q336)-1</f>
        <v>-3.0818123206682868E-2</v>
      </c>
      <c r="T336" s="22">
        <f>R336/MAX(R$6:R336)-1</f>
        <v>-0.14415947362458037</v>
      </c>
    </row>
    <row r="337" spans="1:20" x14ac:dyDescent="0.2">
      <c r="A337" s="18">
        <v>44981</v>
      </c>
      <c r="B337" s="19">
        <v>480.4</v>
      </c>
      <c r="C337" s="19">
        <v>169.14</v>
      </c>
      <c r="D337" s="19">
        <v>59.84</v>
      </c>
      <c r="E337" s="19">
        <v>4.1399999999999997</v>
      </c>
      <c r="F337" s="20">
        <v>3970.04</v>
      </c>
      <c r="H337" s="23">
        <f t="shared" si="35"/>
        <v>1.002880390219274E-2</v>
      </c>
      <c r="I337" s="23">
        <f t="shared" si="36"/>
        <v>-3.5249828884325818E-2</v>
      </c>
      <c r="J337" s="23">
        <f t="shared" si="37"/>
        <v>-4.6573519627410853E-3</v>
      </c>
      <c r="K337" s="23">
        <f>E336/100/Inputs!$B$17-'Valuation and Bond'!$B$44*(E337-E336)/100+0.5*'Valuation and Bond'!$B$45*((E337-E336)/100)^2</f>
        <v>-4.8987558092173566E-3</v>
      </c>
      <c r="L337" s="23">
        <f t="shared" si="38"/>
        <v>-2.6733903885425514E-2</v>
      </c>
      <c r="M337" s="23">
        <f t="shared" si="39"/>
        <v>-1.2855234464055572E-2</v>
      </c>
      <c r="N337" s="23">
        <f>SUMPRODUCT(H337:K337,Portfolio!$B$23:$E$23)</f>
        <v>-8.6942831885228802E-3</v>
      </c>
      <c r="O337" s="23">
        <f>SUMPRODUCT(H337:K337,Portfolio!$B$24:$E$24)</f>
        <v>-6.9113119547594424E-3</v>
      </c>
      <c r="Q337" s="21">
        <f t="shared" si="40"/>
        <v>177.58870877154814</v>
      </c>
      <c r="R337" s="21">
        <f t="shared" si="41"/>
        <v>185.41191855034549</v>
      </c>
      <c r="S337" s="22">
        <f>Q337/MAX(Q$6:Q337)-1</f>
        <v>-4.3277183471174374E-2</v>
      </c>
      <c r="T337" s="22">
        <f>R337/MAX(R$6:R337)-1</f>
        <v>-0.16703943199795279</v>
      </c>
    </row>
    <row r="338" spans="1:20" x14ac:dyDescent="0.2">
      <c r="A338" s="18">
        <v>44988</v>
      </c>
      <c r="B338" s="19">
        <v>477.89</v>
      </c>
      <c r="C338" s="19">
        <v>175.68</v>
      </c>
      <c r="D338" s="19">
        <v>59.44</v>
      </c>
      <c r="E338" s="19">
        <v>4.24</v>
      </c>
      <c r="F338" s="20">
        <v>4045.64</v>
      </c>
      <c r="H338" s="23">
        <f t="shared" si="35"/>
        <v>-5.2248126561198482E-3</v>
      </c>
      <c r="I338" s="23">
        <f t="shared" si="36"/>
        <v>3.8666193685704231E-2</v>
      </c>
      <c r="J338" s="23">
        <f t="shared" si="37"/>
        <v>-6.6844919786097634E-3</v>
      </c>
      <c r="K338" s="23">
        <f>E337/100/Inputs!$B$17-'Valuation and Bond'!$B$44*(E338-E337)/100+0.5*'Valuation and Bond'!$B$45*((E338-E337)/100)^2</f>
        <v>-3.5687070314557538E-3</v>
      </c>
      <c r="L338" s="23">
        <f t="shared" si="38"/>
        <v>1.9042629293407609E-2</v>
      </c>
      <c r="M338" s="23">
        <f t="shared" si="39"/>
        <v>9.0977987902745704E-3</v>
      </c>
      <c r="N338" s="23">
        <f>SUMPRODUCT(H338:K338,Portfolio!$B$23:$E$23)</f>
        <v>5.7970455048797168E-3</v>
      </c>
      <c r="O338" s="23">
        <f>SUMPRODUCT(H338:K338,Portfolio!$B$24:$E$24)</f>
        <v>7.5440544687596341E-4</v>
      </c>
      <c r="Q338" s="21">
        <f t="shared" si="40"/>
        <v>179.20437511137635</v>
      </c>
      <c r="R338" s="21">
        <f t="shared" si="41"/>
        <v>188.94264898187922</v>
      </c>
      <c r="S338" s="22">
        <f>Q338/MAX(Q$6:Q338)-1</f>
        <v>-3.4573111788330335E-2</v>
      </c>
      <c r="T338" s="22">
        <f>R338/MAX(R$6:R338)-1</f>
        <v>-0.15117767268546356</v>
      </c>
    </row>
    <row r="339" spans="1:20" x14ac:dyDescent="0.2">
      <c r="A339" s="18">
        <v>44995</v>
      </c>
      <c r="B339" s="19">
        <v>475.5</v>
      </c>
      <c r="C339" s="19">
        <v>171.64</v>
      </c>
      <c r="D339" s="19">
        <v>59.21</v>
      </c>
      <c r="E339" s="19">
        <v>4.22</v>
      </c>
      <c r="F339" s="20">
        <v>3861.59</v>
      </c>
      <c r="H339" s="23">
        <f t="shared" si="35"/>
        <v>-5.0011508924647785E-3</v>
      </c>
      <c r="I339" s="23">
        <f t="shared" si="36"/>
        <v>-2.2996357012750601E-2</v>
      </c>
      <c r="J339" s="23">
        <f t="shared" si="37"/>
        <v>-3.8694481830416905E-3</v>
      </c>
      <c r="K339" s="23">
        <f>E338/100/Inputs!$B$17-'Valuation and Bond'!$B$44*(E339-E338)/100+0.5*'Valuation and Bond'!$B$45*((E339-E338)/100)^2</f>
        <v>1.691070320458085E-3</v>
      </c>
      <c r="L339" s="23">
        <f t="shared" si="38"/>
        <v>-4.5493420076922253E-2</v>
      </c>
      <c r="M339" s="23">
        <f t="shared" si="39"/>
        <v>-9.2191750051442353E-3</v>
      </c>
      <c r="N339" s="23">
        <f>SUMPRODUCT(H339:K339,Portfolio!$B$23:$E$23)</f>
        <v>-7.5439714419497459E-3</v>
      </c>
      <c r="O339" s="23">
        <f>SUMPRODUCT(H339:K339,Portfolio!$B$24:$E$24)</f>
        <v>-4.3235199899398762E-3</v>
      </c>
      <c r="Q339" s="21">
        <f t="shared" si="40"/>
        <v>177.55225861553706</v>
      </c>
      <c r="R339" s="21">
        <f t="shared" si="41"/>
        <v>180.34700168130013</v>
      </c>
      <c r="S339" s="22">
        <f>Q339/MAX(Q$6:Q339)-1</f>
        <v>-4.3473551225425622E-2</v>
      </c>
      <c r="T339" s="22">
        <f>R339/MAX(R$6:R339)-1</f>
        <v>-0.18979350339265444</v>
      </c>
    </row>
    <row r="340" spans="1:20" x14ac:dyDescent="0.2">
      <c r="A340" s="18">
        <v>45002</v>
      </c>
      <c r="B340" s="19">
        <v>465.87</v>
      </c>
      <c r="C340" s="19">
        <v>175.71</v>
      </c>
      <c r="D340" s="19">
        <v>60.02</v>
      </c>
      <c r="E340" s="19">
        <v>3.64</v>
      </c>
      <c r="F340" s="20">
        <v>3916.64</v>
      </c>
      <c r="H340" s="23">
        <f t="shared" si="35"/>
        <v>-2.0252365930599314E-2</v>
      </c>
      <c r="I340" s="23">
        <f t="shared" si="36"/>
        <v>2.3712421347005463E-2</v>
      </c>
      <c r="J340" s="23">
        <f t="shared" si="37"/>
        <v>1.3680121601080897E-2</v>
      </c>
      <c r="K340" s="23">
        <f>E339/100/Inputs!$B$17-'Valuation and Bond'!$B$44*(E340-E339)/100+0.5*'Valuation and Bond'!$B$45*((E340-E339)/100)^2</f>
        <v>2.6573654907976099E-2</v>
      </c>
      <c r="L340" s="23">
        <f t="shared" si="38"/>
        <v>1.4255785829153211E-2</v>
      </c>
      <c r="M340" s="23">
        <f t="shared" si="39"/>
        <v>1.5073432580667416E-2</v>
      </c>
      <c r="N340" s="23">
        <f>SUMPRODUCT(H340:K340,Portfolio!$B$23:$E$23)</f>
        <v>1.0928457981365786E-2</v>
      </c>
      <c r="O340" s="23">
        <f>SUMPRODUCT(H340:K340,Portfolio!$B$24:$E$24)</f>
        <v>1.5791913767365814E-2</v>
      </c>
      <c r="Q340" s="21">
        <f t="shared" si="40"/>
        <v>180.22858061532358</v>
      </c>
      <c r="R340" s="21">
        <f t="shared" si="41"/>
        <v>182.91798991219866</v>
      </c>
      <c r="S340" s="22">
        <f>Q340/MAX(Q$6:Q340)-1</f>
        <v>-2.9055414288196801E-2</v>
      </c>
      <c r="T340" s="22">
        <f>R340/MAX(R$6:R340)-1</f>
        <v>-0.17824337309963167</v>
      </c>
    </row>
    <row r="341" spans="1:20" x14ac:dyDescent="0.2">
      <c r="A341" s="18">
        <v>45009</v>
      </c>
      <c r="B341" s="19">
        <v>474.54</v>
      </c>
      <c r="C341" s="19">
        <v>179.51</v>
      </c>
      <c r="D341" s="19">
        <v>60.9</v>
      </c>
      <c r="E341" s="19">
        <v>3.53</v>
      </c>
      <c r="F341" s="20">
        <v>3970.99</v>
      </c>
      <c r="H341" s="23">
        <f t="shared" si="35"/>
        <v>1.8610341940884734E-2</v>
      </c>
      <c r="I341" s="23">
        <f t="shared" si="36"/>
        <v>2.1626543736839032E-2</v>
      </c>
      <c r="J341" s="23">
        <f t="shared" si="37"/>
        <v>1.4661779406864195E-2</v>
      </c>
      <c r="K341" s="23">
        <f>E340/100/Inputs!$B$17-'Valuation and Bond'!$B$44*(E341-E340)/100+0.5*'Valuation and Bond'!$B$45*((E341-E340)/100)^2</f>
        <v>5.5274646873040654E-3</v>
      </c>
      <c r="L341" s="23">
        <f t="shared" si="38"/>
        <v>1.3876690224273736E-2</v>
      </c>
      <c r="M341" s="23">
        <f t="shared" si="39"/>
        <v>1.5656473227601587E-2</v>
      </c>
      <c r="N341" s="23">
        <f>SUMPRODUCT(H341:K341,Portfolio!$B$23:$E$23)</f>
        <v>1.5106532442973006E-2</v>
      </c>
      <c r="O341" s="23">
        <f>SUMPRODUCT(H341:K341,Portfolio!$B$24:$E$24)</f>
        <v>1.2439158026964058E-2</v>
      </c>
      <c r="Q341" s="21">
        <f t="shared" si="40"/>
        <v>183.05032456257604</v>
      </c>
      <c r="R341" s="21">
        <f t="shared" si="41"/>
        <v>185.45628619465708</v>
      </c>
      <c r="S341" s="22">
        <f>Q341/MAX(Q$6:Q341)-1</f>
        <v>-1.3853846376515211E-2</v>
      </c>
      <c r="T341" s="22">
        <f>R341/MAX(R$6:R341)-1</f>
        <v>-0.16684011094839113</v>
      </c>
    </row>
    <row r="342" spans="1:20" x14ac:dyDescent="0.2">
      <c r="A342" s="18">
        <v>45016</v>
      </c>
      <c r="B342" s="19">
        <v>472.73</v>
      </c>
      <c r="C342" s="19">
        <v>186.01</v>
      </c>
      <c r="D342" s="19">
        <v>62.03</v>
      </c>
      <c r="E342" s="19">
        <v>3.63</v>
      </c>
      <c r="F342" s="20">
        <v>4109.3100000000004</v>
      </c>
      <c r="H342" s="23">
        <f t="shared" si="35"/>
        <v>-3.8142200868209741E-3</v>
      </c>
      <c r="I342" s="23">
        <f t="shared" si="36"/>
        <v>3.6209681911871128E-2</v>
      </c>
      <c r="J342" s="23">
        <f t="shared" si="37"/>
        <v>1.8555008210180635E-2</v>
      </c>
      <c r="K342" s="23">
        <f>E341/100/Inputs!$B$17-'Valuation and Bond'!$B$44*(E342-E341)/100+0.5*'Valuation and Bond'!$B$45*((E342-E341)/100)^2</f>
        <v>-3.686014723763426E-3</v>
      </c>
      <c r="L342" s="23">
        <f t="shared" si="38"/>
        <v>3.4832623602678581E-2</v>
      </c>
      <c r="M342" s="23">
        <f t="shared" si="39"/>
        <v>1.6968923195596973E-2</v>
      </c>
      <c r="N342" s="23">
        <f>SUMPRODUCT(H342:K342,Portfolio!$B$23:$E$23)</f>
        <v>1.1816113827866841E-2</v>
      </c>
      <c r="O342" s="23">
        <f>SUMPRODUCT(H342:K342,Portfolio!$B$24:$E$24)</f>
        <v>9.1126843072233243E-3</v>
      </c>
      <c r="Q342" s="21">
        <f t="shared" si="40"/>
        <v>186.15649146100748</v>
      </c>
      <c r="R342" s="21">
        <f t="shared" si="41"/>
        <v>191.91621520642622</v>
      </c>
      <c r="S342" s="22">
        <f>Q342/MAX(Q$6:Q342)-1</f>
        <v>0</v>
      </c>
      <c r="T342" s="22">
        <f>R342/MAX(R$6:R342)-1</f>
        <v>-0.13781896613220701</v>
      </c>
    </row>
    <row r="343" spans="1:20" x14ac:dyDescent="0.2">
      <c r="A343" s="18">
        <v>45023</v>
      </c>
      <c r="B343" s="19">
        <v>490.17</v>
      </c>
      <c r="C343" s="19">
        <v>178.12</v>
      </c>
      <c r="D343" s="19">
        <v>62.84</v>
      </c>
      <c r="E343" s="19">
        <v>3.43</v>
      </c>
      <c r="F343" s="20">
        <v>4105.0200000000004</v>
      </c>
      <c r="H343" s="23">
        <f t="shared" si="35"/>
        <v>3.6892094853298918E-2</v>
      </c>
      <c r="I343" s="23">
        <f t="shared" si="36"/>
        <v>-4.24170743508413E-2</v>
      </c>
      <c r="J343" s="23">
        <f t="shared" si="37"/>
        <v>1.3058197646300229E-2</v>
      </c>
      <c r="K343" s="23">
        <f>E342/100/Inputs!$B$17-'Valuation and Bond'!$B$44*(E343-E342)/100+0.5*'Valuation and Bond'!$B$45*((E343-E342)/100)^2</f>
        <v>9.4956369170844171E-3</v>
      </c>
      <c r="L343" s="23">
        <f t="shared" si="38"/>
        <v>-1.0439708856231356E-3</v>
      </c>
      <c r="M343" s="23">
        <f t="shared" si="39"/>
        <v>-2.8031628786723099E-3</v>
      </c>
      <c r="N343" s="23">
        <f>SUMPRODUCT(H343:K343,Portfolio!$B$23:$E$23)</f>
        <v>4.2572137664605662E-3</v>
      </c>
      <c r="O343" s="23">
        <f>SUMPRODUCT(H343:K343,Portfolio!$B$24:$E$24)</f>
        <v>7.3604366921744963E-3</v>
      </c>
      <c r="Q343" s="21">
        <f t="shared" si="40"/>
        <v>185.63466449452011</v>
      </c>
      <c r="R343" s="21">
        <f t="shared" si="41"/>
        <v>191.71586026527171</v>
      </c>
      <c r="S343" s="22">
        <f>Q343/MAX(Q$6:Q343)-1</f>
        <v>-2.8031628786722163E-3</v>
      </c>
      <c r="T343" s="22">
        <f>R343/MAX(R$6:R343)-1</f>
        <v>-0.13871905802970141</v>
      </c>
    </row>
    <row r="344" spans="1:20" x14ac:dyDescent="0.2">
      <c r="A344" s="18">
        <v>45030</v>
      </c>
      <c r="B344" s="19">
        <v>487.99</v>
      </c>
      <c r="C344" s="19">
        <v>178.98</v>
      </c>
      <c r="D344" s="19">
        <v>63.05</v>
      </c>
      <c r="E344" s="19">
        <v>3.53</v>
      </c>
      <c r="F344" s="20">
        <v>4137.6400000000003</v>
      </c>
      <c r="H344" s="23">
        <f t="shared" si="35"/>
        <v>-4.4474366036273416E-3</v>
      </c>
      <c r="I344" s="23">
        <f t="shared" si="36"/>
        <v>4.8282057040196502E-3</v>
      </c>
      <c r="J344" s="23">
        <f t="shared" si="37"/>
        <v>3.3418204964990039E-3</v>
      </c>
      <c r="K344" s="23">
        <f>E343/100/Inputs!$B$17-'Valuation and Bond'!$B$44*(E344-E343)/100+0.5*'Valuation and Bond'!$B$45*((E344-E343)/100)^2</f>
        <v>-3.7052454929941765E-3</v>
      </c>
      <c r="L344" s="23">
        <f t="shared" si="38"/>
        <v>7.9463681053928426E-3</v>
      </c>
      <c r="M344" s="23">
        <f t="shared" si="39"/>
        <v>1.3908378513154407E-3</v>
      </c>
      <c r="N344" s="23">
        <f>SUMPRODUCT(H344:K344,Portfolio!$B$23:$E$23)</f>
        <v>4.3360259742839967E-6</v>
      </c>
      <c r="O344" s="23">
        <f>SUMPRODUCT(H344:K344,Portfolio!$B$24:$E$24)</f>
        <v>-2.8424373802882078E-4</v>
      </c>
      <c r="Q344" s="21">
        <f t="shared" si="40"/>
        <v>185.89285221241533</v>
      </c>
      <c r="R344" s="21">
        <f t="shared" si="41"/>
        <v>193.23930506258162</v>
      </c>
      <c r="S344" s="22">
        <f>Q344/MAX(Q$6:Q344)-1</f>
        <v>-1.4162237723918114E-3</v>
      </c>
      <c r="T344" s="22">
        <f>R344/MAX(R$6:R344)-1</f>
        <v>-0.13187500262264595</v>
      </c>
    </row>
    <row r="345" spans="1:20" x14ac:dyDescent="0.2">
      <c r="A345" s="18">
        <v>45037</v>
      </c>
      <c r="B345" s="19">
        <v>482.55</v>
      </c>
      <c r="C345" s="19">
        <v>177.02</v>
      </c>
      <c r="D345" s="19">
        <v>64.05</v>
      </c>
      <c r="E345" s="19">
        <v>3.68</v>
      </c>
      <c r="F345" s="20">
        <v>4133.5200000000004</v>
      </c>
      <c r="H345" s="23">
        <f t="shared" si="35"/>
        <v>-1.1147769421504528E-2</v>
      </c>
      <c r="I345" s="23">
        <f t="shared" si="36"/>
        <v>-1.0950944239579763E-2</v>
      </c>
      <c r="J345" s="23">
        <f t="shared" si="37"/>
        <v>1.5860428231562196E-2</v>
      </c>
      <c r="K345" s="23">
        <f>E344/100/Inputs!$B$17-'Valuation and Bond'!$B$44*(E345-E344)/100+0.5*'Valuation and Bond'!$B$45*((E345-E344)/100)^2</f>
        <v>-5.8599653827196832E-3</v>
      </c>
      <c r="L345" s="23">
        <f t="shared" si="38"/>
        <v>-9.9573670014785343E-4</v>
      </c>
      <c r="M345" s="23">
        <f t="shared" si="39"/>
        <v>-9.0998959580236745E-4</v>
      </c>
      <c r="N345" s="23">
        <f>SUMPRODUCT(H345:K345,Portfolio!$B$23:$E$23)</f>
        <v>-3.0245627030604447E-3</v>
      </c>
      <c r="O345" s="23">
        <f>SUMPRODUCT(H345:K345,Portfolio!$B$24:$E$24)</f>
        <v>1.4108839318994863E-4</v>
      </c>
      <c r="Q345" s="21">
        <f t="shared" si="40"/>
        <v>185.72369165096802</v>
      </c>
      <c r="R345" s="21">
        <f t="shared" si="41"/>
        <v>193.04688959461976</v>
      </c>
      <c r="S345" s="22">
        <f>Q345/MAX(Q$6:Q345)-1</f>
        <v>-2.3249246192960094E-3</v>
      </c>
      <c r="T345" s="22">
        <f>R345/MAX(R$6:R345)-1</f>
        <v>-0.13273942654285031</v>
      </c>
    </row>
    <row r="346" spans="1:20" x14ac:dyDescent="0.2">
      <c r="A346" s="18">
        <v>45044</v>
      </c>
      <c r="B346" s="19">
        <v>464.45</v>
      </c>
      <c r="C346" s="19">
        <v>167.2</v>
      </c>
      <c r="D346" s="19">
        <v>64.150000000000006</v>
      </c>
      <c r="E346" s="19">
        <v>3.52</v>
      </c>
      <c r="F346" s="20">
        <v>4169.4799999999996</v>
      </c>
      <c r="H346" s="23">
        <f t="shared" si="35"/>
        <v>-3.7509066417987791E-2</v>
      </c>
      <c r="I346" s="23">
        <f t="shared" si="36"/>
        <v>-5.5473957744887725E-2</v>
      </c>
      <c r="J346" s="23">
        <f t="shared" si="37"/>
        <v>1.5612802498050637E-3</v>
      </c>
      <c r="K346" s="23">
        <f>E345/100/Inputs!$B$17-'Valuation and Bond'!$B$44*(E346-E345)/100+0.5*'Valuation and Bond'!$B$45*((E346-E345)/100)^2</f>
        <v>7.7385042240942286E-3</v>
      </c>
      <c r="L346" s="23">
        <f t="shared" si="38"/>
        <v>8.6996071145171161E-3</v>
      </c>
      <c r="M346" s="23">
        <f t="shared" si="39"/>
        <v>-2.1201724427068275E-2</v>
      </c>
      <c r="N346" s="23">
        <f>SUMPRODUCT(H346:K346,Portfolio!$B$23:$E$23)</f>
        <v>-2.0920809922244057E-2</v>
      </c>
      <c r="O346" s="23">
        <f>SUMPRODUCT(H346:K346,Portfolio!$B$24:$E$24)</f>
        <v>-8.5554633564550939E-3</v>
      </c>
      <c r="Q346" s="21">
        <f t="shared" si="40"/>
        <v>181.78602912100641</v>
      </c>
      <c r="R346" s="21">
        <f t="shared" si="41"/>
        <v>194.72632168877252</v>
      </c>
      <c r="S346" s="22">
        <f>Q346/MAX(Q$6:Q346)-1</f>
        <v>-2.3477356635272173E-2</v>
      </c>
      <c r="T346" s="22">
        <f>R346/MAX(R$6:R346)-1</f>
        <v>-0.12519460028786222</v>
      </c>
    </row>
    <row r="347" spans="1:20" x14ac:dyDescent="0.2">
      <c r="A347" s="18">
        <v>45051</v>
      </c>
      <c r="B347" s="19">
        <v>455.54</v>
      </c>
      <c r="C347" s="19">
        <v>165.82</v>
      </c>
      <c r="D347" s="19">
        <v>64.02</v>
      </c>
      <c r="E347" s="19">
        <v>3.43</v>
      </c>
      <c r="F347" s="20">
        <v>4136.25</v>
      </c>
      <c r="H347" s="23">
        <f t="shared" si="35"/>
        <v>-1.9183981052858123E-2</v>
      </c>
      <c r="I347" s="23">
        <f t="shared" si="36"/>
        <v>-8.2535885167464018E-3</v>
      </c>
      <c r="J347" s="23">
        <f t="shared" si="37"/>
        <v>-2.0265003897117495E-3</v>
      </c>
      <c r="K347" s="23">
        <f>E346/100/Inputs!$B$17-'Valuation and Bond'!$B$44*(E347-E346)/100+0.5*'Valuation and Bond'!$B$45*((E347-E346)/100)^2</f>
        <v>4.6246317648263703E-3</v>
      </c>
      <c r="L347" s="23">
        <f t="shared" si="38"/>
        <v>-7.9698187783607821E-3</v>
      </c>
      <c r="M347" s="23">
        <f t="shared" si="39"/>
        <v>-5.0245792285924552E-3</v>
      </c>
      <c r="N347" s="23">
        <f>SUMPRODUCT(H347:K347,Portfolio!$B$23:$E$23)</f>
        <v>-6.2098595486224763E-3</v>
      </c>
      <c r="O347" s="23">
        <f>SUMPRODUCT(H347:K347,Portfolio!$B$24:$E$24)</f>
        <v>-2.4021132533954565E-3</v>
      </c>
      <c r="Q347" s="21">
        <f t="shared" si="40"/>
        <v>180.8726308150367</v>
      </c>
      <c r="R347" s="21">
        <f t="shared" si="41"/>
        <v>193.1743881935362</v>
      </c>
      <c r="S347" s="22">
        <f>Q347/MAX(Q$6:Q347)-1</f>
        <v>-2.8383972025372795E-2</v>
      </c>
      <c r="T347" s="22">
        <f>R347/MAX(R$6:R347)-1</f>
        <v>-0.13216664078989948</v>
      </c>
    </row>
    <row r="348" spans="1:20" x14ac:dyDescent="0.2">
      <c r="A348" s="18">
        <v>45058</v>
      </c>
      <c r="B348" s="19">
        <v>450.79</v>
      </c>
      <c r="C348" s="19">
        <v>161.88</v>
      </c>
      <c r="D348" s="19">
        <v>64.11</v>
      </c>
      <c r="E348" s="19">
        <v>3.44</v>
      </c>
      <c r="F348" s="20">
        <v>4124.08</v>
      </c>
      <c r="H348" s="23">
        <f t="shared" si="35"/>
        <v>-1.0427185318523047E-2</v>
      </c>
      <c r="I348" s="23">
        <f t="shared" si="36"/>
        <v>-2.3760704378241404E-2</v>
      </c>
      <c r="J348" s="23">
        <f t="shared" si="37"/>
        <v>1.405810684161235E-3</v>
      </c>
      <c r="K348" s="23">
        <f>E347/100/Inputs!$B$17-'Valuation and Bond'!$B$44*(E348-E347)/100+0.5*'Valuation and Bond'!$B$45*((E348-E347)/100)^2</f>
        <v>2.2211172327261103E-4</v>
      </c>
      <c r="L348" s="23">
        <f t="shared" si="38"/>
        <v>-2.9422786340284057E-3</v>
      </c>
      <c r="M348" s="23">
        <f t="shared" si="39"/>
        <v>-8.7037510489650291E-3</v>
      </c>
      <c r="N348" s="23">
        <f>SUMPRODUCT(H348:K348,Portfolio!$B$23:$E$23)</f>
        <v>-8.1399918223326508E-3</v>
      </c>
      <c r="O348" s="23">
        <f>SUMPRODUCT(H348:K348,Portfolio!$B$24:$E$24)</f>
        <v>-3.924988679202328E-3</v>
      </c>
      <c r="Q348" s="21">
        <f t="shared" si="40"/>
        <v>179.29836046485127</v>
      </c>
      <c r="R348" s="21">
        <f t="shared" si="41"/>
        <v>192.60601531851285</v>
      </c>
      <c r="S348" s="22">
        <f>Q348/MAX(Q$6:Q348)-1</f>
        <v>-3.6840676048048082E-2</v>
      </c>
      <c r="T348" s="22">
        <f>R348/MAX(R$6:R348)-1</f>
        <v>-0.13472004834060047</v>
      </c>
    </row>
    <row r="349" spans="1:20" x14ac:dyDescent="0.2">
      <c r="A349" s="18">
        <v>45065</v>
      </c>
      <c r="B349" s="19">
        <v>454.49</v>
      </c>
      <c r="C349" s="19">
        <v>170.11</v>
      </c>
      <c r="D349" s="19">
        <v>62.83</v>
      </c>
      <c r="E349" s="19">
        <v>3.6</v>
      </c>
      <c r="F349" s="20">
        <v>4191.9799999999996</v>
      </c>
      <c r="H349" s="23">
        <f t="shared" si="35"/>
        <v>8.2078129505978037E-3</v>
      </c>
      <c r="I349" s="23">
        <f t="shared" si="36"/>
        <v>5.0840128490239778E-2</v>
      </c>
      <c r="J349" s="23">
        <f t="shared" si="37"/>
        <v>-1.9965683980658233E-2</v>
      </c>
      <c r="K349" s="23">
        <f>E348/100/Inputs!$B$17-'Valuation and Bond'!$B$44*(E349-E348)/100+0.5*'Valuation and Bond'!$B$45*((E349-E348)/100)^2</f>
        <v>-6.31138482443073E-3</v>
      </c>
      <c r="L349" s="23">
        <f t="shared" si="38"/>
        <v>1.6464278093538454E-2</v>
      </c>
      <c r="M349" s="23">
        <f t="shared" si="39"/>
        <v>9.8640823093750392E-3</v>
      </c>
      <c r="N349" s="23">
        <f>SUMPRODUCT(H349:K349,Portfolio!$B$23:$E$23)</f>
        <v>8.192718158937155E-3</v>
      </c>
      <c r="O349" s="23">
        <f>SUMPRODUCT(H349:K349,Portfolio!$B$24:$E$24)</f>
        <v>-1.4977109925814335E-3</v>
      </c>
      <c r="Q349" s="21">
        <f t="shared" si="40"/>
        <v>181.06697425041256</v>
      </c>
      <c r="R349" s="21">
        <f t="shared" si="41"/>
        <v>195.77713431720517</v>
      </c>
      <c r="S349" s="22">
        <f>Q349/MAX(Q$6:Q349)-1</f>
        <v>-2.7339993199544055E-2</v>
      </c>
      <c r="T349" s="22">
        <f>R349/MAX(R$6:R349)-1</f>
        <v>-0.12047383858771665</v>
      </c>
    </row>
    <row r="350" spans="1:20" x14ac:dyDescent="0.2">
      <c r="A350" s="18">
        <v>45072</v>
      </c>
      <c r="B350" s="19">
        <v>448.45</v>
      </c>
      <c r="C350" s="19">
        <v>176.29</v>
      </c>
      <c r="D350" s="19">
        <v>60.26</v>
      </c>
      <c r="E350" s="19">
        <v>3.82</v>
      </c>
      <c r="F350" s="20">
        <v>4205.45</v>
      </c>
      <c r="H350" s="23">
        <f t="shared" si="35"/>
        <v>-1.3289621333802737E-2</v>
      </c>
      <c r="I350" s="23">
        <f t="shared" si="36"/>
        <v>3.6329433895714303E-2</v>
      </c>
      <c r="J350" s="23">
        <f t="shared" si="37"/>
        <v>-4.0904026738818988E-2</v>
      </c>
      <c r="K350" s="23">
        <f>E349/100/Inputs!$B$17-'Valuation and Bond'!$B$44*(E350-E349)/100+0.5*'Valuation and Bond'!$B$45*((E350-E349)/100)^2</f>
        <v>-8.8805374133664895E-3</v>
      </c>
      <c r="L350" s="23">
        <f t="shared" si="38"/>
        <v>3.2132786893068754E-3</v>
      </c>
      <c r="M350" s="23">
        <f t="shared" si="39"/>
        <v>-5.3533781481678502E-3</v>
      </c>
      <c r="N350" s="23">
        <f>SUMPRODUCT(H350:K350,Portfolio!$B$23:$E$23)</f>
        <v>-6.6861878975684776E-3</v>
      </c>
      <c r="O350" s="23">
        <f>SUMPRODUCT(H350:K350,Portfolio!$B$24:$E$24)</f>
        <v>-1.4309423963919186E-2</v>
      </c>
      <c r="Q350" s="21">
        <f t="shared" si="40"/>
        <v>180.09765426710553</v>
      </c>
      <c r="R350" s="21">
        <f t="shared" si="41"/>
        <v>196.4062208107602</v>
      </c>
      <c r="S350" s="22">
        <f>Q350/MAX(Q$6:Q350)-1</f>
        <v>-3.2547010025546386E-2</v>
      </c>
      <c r="T350" s="22">
        <f>R350/MAX(R$6:R350)-1</f>
        <v>-0.11764767591656267</v>
      </c>
    </row>
    <row r="351" spans="1:20" x14ac:dyDescent="0.2">
      <c r="A351" s="18">
        <v>45079</v>
      </c>
      <c r="B351" s="19">
        <v>454.49</v>
      </c>
      <c r="C351" s="19">
        <v>175.23</v>
      </c>
      <c r="D351" s="19">
        <v>61.16</v>
      </c>
      <c r="E351" s="19">
        <v>3.77</v>
      </c>
      <c r="F351" s="20">
        <v>4282.37</v>
      </c>
      <c r="H351" s="23">
        <f t="shared" si="35"/>
        <v>1.3468614115285993E-2</v>
      </c>
      <c r="I351" s="23">
        <f t="shared" si="36"/>
        <v>-6.0128197855805476E-3</v>
      </c>
      <c r="J351" s="23">
        <f t="shared" si="37"/>
        <v>1.4935280451377375E-2</v>
      </c>
      <c r="K351" s="23">
        <f>E350/100/Inputs!$B$17-'Valuation and Bond'!$B$44*(E351-E350)/100+0.5*'Valuation and Bond'!$B$45*((E351-E350)/100)^2</f>
        <v>2.9255256032687093E-3</v>
      </c>
      <c r="L351" s="23">
        <f t="shared" si="38"/>
        <v>1.8290551546207956E-2</v>
      </c>
      <c r="M351" s="23">
        <f t="shared" si="39"/>
        <v>5.42612311402742E-3</v>
      </c>
      <c r="N351" s="23">
        <f>SUMPRODUCT(H351:K351,Portfolio!$B$23:$E$23)</f>
        <v>6.3291500960878828E-3</v>
      </c>
      <c r="O351" s="23">
        <f>SUMPRODUCT(H351:K351,Portfolio!$B$24:$E$24)</f>
        <v>7.1687967500385008E-3</v>
      </c>
      <c r="Q351" s="21">
        <f t="shared" si="40"/>
        <v>181.07488631170636</v>
      </c>
      <c r="R351" s="21">
        <f t="shared" si="41"/>
        <v>199.99859891649533</v>
      </c>
      <c r="S351" s="22">
        <f>Q351/MAX(Q$6:Q351)-1</f>
        <v>-2.7297490994911189E-2</v>
      </c>
      <c r="T351" s="22">
        <f>R351/MAX(R$6:R351)-1</f>
        <v>-0.10150896525099817</v>
      </c>
    </row>
    <row r="352" spans="1:20" x14ac:dyDescent="0.2">
      <c r="A352" s="18">
        <v>45086</v>
      </c>
      <c r="B352" s="19">
        <v>462.69</v>
      </c>
      <c r="C352" s="19">
        <v>170.59</v>
      </c>
      <c r="D352" s="19">
        <v>60.47</v>
      </c>
      <c r="E352" s="19">
        <v>3.88</v>
      </c>
      <c r="F352" s="20">
        <v>4298.8599999999997</v>
      </c>
      <c r="H352" s="23">
        <f t="shared" si="35"/>
        <v>1.804220114854016E-2</v>
      </c>
      <c r="I352" s="23">
        <f t="shared" si="36"/>
        <v>-2.6479484106602724E-2</v>
      </c>
      <c r="J352" s="23">
        <f t="shared" si="37"/>
        <v>-1.1281883584041807E-2</v>
      </c>
      <c r="K352" s="23">
        <f>E351/100/Inputs!$B$17-'Valuation and Bond'!$B$44*(E352-E351)/100+0.5*'Valuation and Bond'!$B$45*((E352-E351)/100)^2</f>
        <v>-4.0751032643260758E-3</v>
      </c>
      <c r="L352" s="23">
        <f t="shared" si="38"/>
        <v>3.8506714739734438E-3</v>
      </c>
      <c r="M352" s="23">
        <f t="shared" si="39"/>
        <v>-1.0970294465476652E-2</v>
      </c>
      <c r="N352" s="23">
        <f>SUMPRODUCT(H352:K352,Portfolio!$B$23:$E$23)</f>
        <v>-5.9485674516076116E-3</v>
      </c>
      <c r="O352" s="23">
        <f>SUMPRODUCT(H352:K352,Portfolio!$B$24:$E$24)</f>
        <v>-6.6314592433127642E-3</v>
      </c>
      <c r="Q352" s="21">
        <f t="shared" si="40"/>
        <v>179.08844148856423</v>
      </c>
      <c r="R352" s="21">
        <f t="shared" si="41"/>
        <v>200.76872781617772</v>
      </c>
      <c r="S352" s="22">
        <f>Q352/MAX(Q$6:Q352)-1</f>
        <v>-3.7968323946005023E-2</v>
      </c>
      <c r="T352" s="22">
        <f>R352/MAX(R$6:R352)-1</f>
        <v>-9.8049171453869377E-2</v>
      </c>
    </row>
    <row r="353" spans="1:20" x14ac:dyDescent="0.2">
      <c r="A353" s="18">
        <v>45093</v>
      </c>
      <c r="B353" s="19">
        <v>459.17</v>
      </c>
      <c r="C353" s="19">
        <v>176.76</v>
      </c>
      <c r="D353" s="19">
        <v>61.67</v>
      </c>
      <c r="E353" s="19">
        <v>3.97</v>
      </c>
      <c r="F353" s="20">
        <v>4409.59</v>
      </c>
      <c r="H353" s="23">
        <f t="shared" si="35"/>
        <v>-7.607685491365701E-3</v>
      </c>
      <c r="I353" s="23">
        <f t="shared" si="36"/>
        <v>3.6168591359399649E-2</v>
      </c>
      <c r="J353" s="23">
        <f t="shared" si="37"/>
        <v>1.9844551017033307E-2</v>
      </c>
      <c r="K353" s="23">
        <f>E352/100/Inputs!$B$17-'Valuation and Bond'!$B$44*(E353-E352)/100+0.5*'Valuation and Bond'!$B$45*((E353-E352)/100)^2</f>
        <v>-3.183238517276611E-3</v>
      </c>
      <c r="L353" s="23">
        <f t="shared" si="38"/>
        <v>2.5757991653601264E-2</v>
      </c>
      <c r="M353" s="23">
        <f t="shared" si="39"/>
        <v>1.6988505085789349E-2</v>
      </c>
      <c r="N353" s="23">
        <f>SUMPRODUCT(H353:K353,Portfolio!$B$23:$E$23)</f>
        <v>1.1305554591947662E-2</v>
      </c>
      <c r="O353" s="23">
        <f>SUMPRODUCT(H353:K353,Portfolio!$B$24:$E$24)</f>
        <v>9.2561448587060099E-3</v>
      </c>
      <c r="Q353" s="21">
        <f t="shared" si="40"/>
        <v>182.13088638759879</v>
      </c>
      <c r="R353" s="21">
        <f t="shared" si="41"/>
        <v>205.94012703157097</v>
      </c>
      <c r="S353" s="22">
        <f>Q353/MAX(Q$6:Q353)-1</f>
        <v>-2.1624843924671233E-2</v>
      </c>
      <c r="T353" s="22">
        <f>R353/MAX(R$6:R353)-1</f>
        <v>-7.481672954021934E-2</v>
      </c>
    </row>
    <row r="354" spans="1:20" x14ac:dyDescent="0.2">
      <c r="A354" s="18">
        <v>45100</v>
      </c>
      <c r="B354" s="19">
        <v>459.36</v>
      </c>
      <c r="C354" s="19">
        <v>167.68</v>
      </c>
      <c r="D354" s="19">
        <v>61.2</v>
      </c>
      <c r="E354" s="19">
        <v>3.98</v>
      </c>
      <c r="F354" s="20">
        <v>4348.33</v>
      </c>
      <c r="H354" s="23">
        <f t="shared" si="35"/>
        <v>4.1379009952735579E-4</v>
      </c>
      <c r="I354" s="23">
        <f t="shared" si="36"/>
        <v>-5.1369088028965781E-2</v>
      </c>
      <c r="J354" s="23">
        <f t="shared" si="37"/>
        <v>-7.6212096643424321E-3</v>
      </c>
      <c r="K354" s="23">
        <f>E353/100/Inputs!$B$17-'Valuation and Bond'!$B$44*(E354-E353)/100+0.5*'Valuation and Bond'!$B$45*((E354-E353)/100)^2</f>
        <v>3.2595787711876486E-4</v>
      </c>
      <c r="L354" s="23">
        <f t="shared" si="38"/>
        <v>-1.389244805072587E-2</v>
      </c>
      <c r="M354" s="23">
        <f t="shared" si="39"/>
        <v>-1.940393854766315E-2</v>
      </c>
      <c r="N354" s="23">
        <f>SUMPRODUCT(H354:K354,Portfolio!$B$23:$E$23)</f>
        <v>-1.4562637429165522E-2</v>
      </c>
      <c r="O354" s="23">
        <f>SUMPRODUCT(H354:K354,Portfolio!$B$24:$E$24)</f>
        <v>-9.1988502736712694E-3</v>
      </c>
      <c r="Q354" s="21">
        <f t="shared" si="40"/>
        <v>178.5968298605024</v>
      </c>
      <c r="R354" s="21">
        <f t="shared" si="41"/>
        <v>203.07911451522497</v>
      </c>
      <c r="S354" s="22">
        <f>Q354/MAX(Q$6:Q354)-1</f>
        <v>-4.0609175329717306E-2</v>
      </c>
      <c r="T354" s="22">
        <f>R354/MAX(R$6:R354)-1</f>
        <v>-8.7669790062482544E-2</v>
      </c>
    </row>
    <row r="355" spans="1:20" x14ac:dyDescent="0.2">
      <c r="A355" s="18">
        <v>45107</v>
      </c>
      <c r="B355" s="19">
        <v>460.38</v>
      </c>
      <c r="C355" s="19">
        <v>180.02</v>
      </c>
      <c r="D355" s="19">
        <v>60.22</v>
      </c>
      <c r="E355" s="19">
        <v>4.04</v>
      </c>
      <c r="F355" s="20">
        <v>4450.38</v>
      </c>
      <c r="H355" s="23">
        <f t="shared" si="35"/>
        <v>2.2204806687564638E-3</v>
      </c>
      <c r="I355" s="23">
        <f t="shared" si="36"/>
        <v>7.3592557251908497E-2</v>
      </c>
      <c r="J355" s="23">
        <f t="shared" si="37"/>
        <v>-1.6013071895424891E-2</v>
      </c>
      <c r="K355" s="23">
        <f>E354/100/Inputs!$B$17-'Valuation and Bond'!$B$44*(E355-E354)/100+0.5*'Valuation and Bond'!$B$45*((E355-E354)/100)^2</f>
        <v>-1.8562454407326668E-3</v>
      </c>
      <c r="L355" s="23">
        <f t="shared" si="38"/>
        <v>2.3468779968401687E-2</v>
      </c>
      <c r="M355" s="23">
        <f t="shared" si="39"/>
        <v>1.8804096728887606E-2</v>
      </c>
      <c r="N355" s="23">
        <f>SUMPRODUCT(H355:K355,Portfolio!$B$23:$E$23)</f>
        <v>1.4485930146126851E-2</v>
      </c>
      <c r="O355" s="23">
        <f>SUMPRODUCT(H355:K355,Portfolio!$B$24:$E$24)</f>
        <v>3.8637489110819154E-3</v>
      </c>
      <c r="Q355" s="21">
        <f t="shared" si="40"/>
        <v>181.95518192467196</v>
      </c>
      <c r="R355" s="21">
        <f t="shared" si="41"/>
        <v>207.84513356996064</v>
      </c>
      <c r="S355" s="22">
        <f>Q355/MAX(Q$6:Q355)-1</f>
        <v>-2.2568697461810117E-2</v>
      </c>
      <c r="T355" s="22">
        <f>R355/MAX(R$6:R355)-1</f>
        <v>-6.6258513106933314E-2</v>
      </c>
    </row>
    <row r="356" spans="1:20" x14ac:dyDescent="0.2">
      <c r="A356" s="18">
        <v>45114</v>
      </c>
      <c r="B356" s="19">
        <v>458.71</v>
      </c>
      <c r="C356" s="19">
        <v>173.7</v>
      </c>
      <c r="D356" s="19">
        <v>59.76</v>
      </c>
      <c r="E356" s="19">
        <v>4.29</v>
      </c>
      <c r="F356" s="20">
        <v>4398.95</v>
      </c>
      <c r="H356" s="23">
        <f t="shared" si="35"/>
        <v>-3.6274382032234209E-3</v>
      </c>
      <c r="I356" s="23">
        <f t="shared" si="36"/>
        <v>-3.5107210309965664E-2</v>
      </c>
      <c r="J356" s="23">
        <f t="shared" si="37"/>
        <v>-7.6386582530720837E-3</v>
      </c>
      <c r="K356" s="23">
        <f>E355/100/Inputs!$B$17-'Valuation and Bond'!$B$44*(E356-E355)/100+0.5*'Valuation and Bond'!$B$45*((E356-E355)/100)^2</f>
        <v>-1.0092830217858145E-2</v>
      </c>
      <c r="L356" s="23">
        <f t="shared" si="38"/>
        <v>-1.1556316539261924E-2</v>
      </c>
      <c r="M356" s="23">
        <f t="shared" si="39"/>
        <v>-1.6662628168199231E-2</v>
      </c>
      <c r="N356" s="23">
        <f>SUMPRODUCT(H356:K356,Portfolio!$B$23:$E$23)</f>
        <v>-1.4116534246029828E-2</v>
      </c>
      <c r="O356" s="23">
        <f>SUMPRODUCT(H356:K356,Portfolio!$B$24:$E$24)</f>
        <v>-1.1740117066893726E-2</v>
      </c>
      <c r="Q356" s="21">
        <f t="shared" si="40"/>
        <v>178.92333038498413</v>
      </c>
      <c r="R356" s="21">
        <f t="shared" si="41"/>
        <v>205.44320941528099</v>
      </c>
      <c r="S356" s="22">
        <f>Q356/MAX(Q$6:Q356)-1</f>
        <v>-3.8855271815962489E-2</v>
      </c>
      <c r="T356" s="22">
        <f>R356/MAX(R$6:R356)-1</f>
        <v>-7.7049125295310716E-2</v>
      </c>
    </row>
    <row r="357" spans="1:20" x14ac:dyDescent="0.2">
      <c r="A357" s="18">
        <v>45121</v>
      </c>
      <c r="B357" s="19">
        <v>464.31</v>
      </c>
      <c r="C357" s="19">
        <v>180.85</v>
      </c>
      <c r="D357" s="19">
        <v>60.9</v>
      </c>
      <c r="E357" s="19">
        <v>4.1100000000000003</v>
      </c>
      <c r="F357" s="20">
        <v>4505.42</v>
      </c>
      <c r="H357" s="23">
        <f t="shared" si="35"/>
        <v>1.2208148939417018E-2</v>
      </c>
      <c r="I357" s="23">
        <f t="shared" si="36"/>
        <v>4.1162924582613725E-2</v>
      </c>
      <c r="J357" s="23">
        <f t="shared" si="37"/>
        <v>1.9076305220883549E-2</v>
      </c>
      <c r="K357" s="23">
        <f>E356/100/Inputs!$B$17-'Valuation and Bond'!$B$44*(E357-E356)/100+0.5*'Valuation and Bond'!$B$45*((E357-E356)/100)^2</f>
        <v>8.7387337002794423E-3</v>
      </c>
      <c r="L357" s="23">
        <f t="shared" si="38"/>
        <v>2.4203503108696456E-2</v>
      </c>
      <c r="M357" s="23">
        <f t="shared" si="39"/>
        <v>2.3387344598839371E-2</v>
      </c>
      <c r="N357" s="23">
        <f>SUMPRODUCT(H357:K357,Portfolio!$B$23:$E$23)</f>
        <v>2.0296528110798434E-2</v>
      </c>
      <c r="O357" s="23">
        <f>SUMPRODUCT(H357:K357,Portfolio!$B$24:$E$24)</f>
        <v>1.6980239671453946E-2</v>
      </c>
      <c r="Q357" s="21">
        <f t="shared" si="40"/>
        <v>183.10787196946973</v>
      </c>
      <c r="R357" s="21">
        <f t="shared" si="41"/>
        <v>210.41565477302433</v>
      </c>
      <c r="S357" s="22">
        <f>Q357/MAX(Q$6:Q357)-1</f>
        <v>-1.6376648848564712E-2</v>
      </c>
      <c r="T357" s="22">
        <f>R357/MAX(R$6:R357)-1</f>
        <v>-5.4710480930221572E-2</v>
      </c>
    </row>
    <row r="358" spans="1:20" x14ac:dyDescent="0.2">
      <c r="A358" s="18">
        <v>45128</v>
      </c>
      <c r="B358" s="19">
        <v>454.76</v>
      </c>
      <c r="C358" s="19">
        <v>184.32</v>
      </c>
      <c r="D358" s="19">
        <v>62.44</v>
      </c>
      <c r="E358" s="19">
        <v>4.03</v>
      </c>
      <c r="F358" s="20">
        <v>4536.34</v>
      </c>
      <c r="H358" s="23">
        <f t="shared" si="35"/>
        <v>-2.0568154896513091E-2</v>
      </c>
      <c r="I358" s="23">
        <f t="shared" si="36"/>
        <v>1.918717168924533E-2</v>
      </c>
      <c r="J358" s="23">
        <f t="shared" si="37"/>
        <v>2.5287356321838983E-2</v>
      </c>
      <c r="K358" s="23">
        <f>E357/100/Inputs!$B$17-'Valuation and Bond'!$B$44*(E358-E357)/100+0.5*'Valuation and Bond'!$B$45*((E358-E357)/100)^2</f>
        <v>4.2985544947814845E-3</v>
      </c>
      <c r="L358" s="23">
        <f t="shared" si="38"/>
        <v>6.8628451953425262E-3</v>
      </c>
      <c r="M358" s="23">
        <f t="shared" si="39"/>
        <v>1.3000679791239927E-2</v>
      </c>
      <c r="N358" s="23">
        <f>SUMPRODUCT(H358:K358,Portfolio!$B$23:$E$23)</f>
        <v>7.0512319023381762E-3</v>
      </c>
      <c r="O358" s="23">
        <f>SUMPRODUCT(H358:K358,Portfolio!$B$24:$E$24)</f>
        <v>1.0173395749615002E-2</v>
      </c>
      <c r="Q358" s="21">
        <f t="shared" si="40"/>
        <v>185.48839878020016</v>
      </c>
      <c r="R358" s="21">
        <f t="shared" si="41"/>
        <v>211.85970483840822</v>
      </c>
      <c r="S358" s="22">
        <f>Q358/MAX(Q$6:Q358)-1</f>
        <v>-3.5888766250585791E-3</v>
      </c>
      <c r="T358" s="22">
        <f>R358/MAX(R$6:R358)-1</f>
        <v>-4.8223105296065993E-2</v>
      </c>
    </row>
    <row r="359" spans="1:20" x14ac:dyDescent="0.2">
      <c r="A359" s="18">
        <v>45135</v>
      </c>
      <c r="B359" s="19">
        <v>449</v>
      </c>
      <c r="C359" s="19">
        <v>178.37</v>
      </c>
      <c r="D359" s="19">
        <v>62.48</v>
      </c>
      <c r="E359" s="19">
        <v>4.16</v>
      </c>
      <c r="F359" s="20">
        <v>4582.2299999999996</v>
      </c>
      <c r="H359" s="23">
        <f t="shared" si="35"/>
        <v>-1.2666021637786962E-2</v>
      </c>
      <c r="I359" s="23">
        <f t="shared" si="36"/>
        <v>-3.228081597222221E-2</v>
      </c>
      <c r="J359" s="23">
        <f t="shared" si="37"/>
        <v>6.4061499039080871E-4</v>
      </c>
      <c r="K359" s="23">
        <f>E358/100/Inputs!$B$17-'Valuation and Bond'!$B$44*(E359-E358)/100+0.5*'Valuation and Bond'!$B$45*((E359-E358)/100)^2</f>
        <v>-4.8949096553712029E-3</v>
      </c>
      <c r="L359" s="23">
        <f t="shared" si="38"/>
        <v>1.0116084773187151E-2</v>
      </c>
      <c r="M359" s="23">
        <f t="shared" si="39"/>
        <v>-1.3093691509657446E-2</v>
      </c>
      <c r="N359" s="23">
        <f>SUMPRODUCT(H359:K359,Portfolio!$B$23:$E$23)</f>
        <v>-1.2300283068747392E-2</v>
      </c>
      <c r="O359" s="23">
        <f>SUMPRODUCT(H359:K359,Portfolio!$B$24:$E$24)</f>
        <v>-7.6476177887360736E-3</v>
      </c>
      <c r="Q359" s="21">
        <f t="shared" si="40"/>
        <v>183.0596709079519</v>
      </c>
      <c r="R359" s="21">
        <f t="shared" si="41"/>
        <v>214.00289557257597</v>
      </c>
      <c r="S359" s="22">
        <f>Q359/MAX(Q$6:Q359)-1</f>
        <v>-1.6635576491321191E-2</v>
      </c>
      <c r="T359" s="22">
        <f>R359/MAX(R$6:R359)-1</f>
        <v>-3.8594849544080101E-2</v>
      </c>
    </row>
    <row r="360" spans="1:20" x14ac:dyDescent="0.2">
      <c r="A360" s="18">
        <v>45142</v>
      </c>
      <c r="B360" s="19">
        <v>445.72</v>
      </c>
      <c r="C360" s="19">
        <v>168.44</v>
      </c>
      <c r="D360" s="19">
        <v>60.71</v>
      </c>
      <c r="E360" s="19">
        <v>4.22</v>
      </c>
      <c r="F360" s="20">
        <v>4478.03</v>
      </c>
      <c r="H360" s="23">
        <f t="shared" si="35"/>
        <v>-7.3051224944320481E-3</v>
      </c>
      <c r="I360" s="23">
        <f t="shared" si="36"/>
        <v>-5.567079665863095E-2</v>
      </c>
      <c r="J360" s="23">
        <f t="shared" si="37"/>
        <v>-2.8329065300896183E-2</v>
      </c>
      <c r="K360" s="23">
        <f>E359/100/Inputs!$B$17-'Valuation and Bond'!$B$44*(E360-E359)/100+0.5*'Valuation and Bond'!$B$45*((E360-E359)/100)^2</f>
        <v>-1.8216300561172633E-3</v>
      </c>
      <c r="L360" s="23">
        <f t="shared" si="38"/>
        <v>-2.2740019597444872E-2</v>
      </c>
      <c r="M360" s="23">
        <f t="shared" si="39"/>
        <v>-2.926467717813638E-2</v>
      </c>
      <c r="N360" s="23">
        <f>SUMPRODUCT(H360:K360,Portfolio!$B$23:$E$23)</f>
        <v>-2.3281653627519112E-2</v>
      </c>
      <c r="O360" s="23">
        <f>SUMPRODUCT(H360:K360,Portfolio!$B$24:$E$24)</f>
        <v>-1.863615020699547E-2</v>
      </c>
      <c r="Q360" s="21">
        <f t="shared" si="40"/>
        <v>177.70248873449481</v>
      </c>
      <c r="R360" s="21">
        <f t="shared" si="41"/>
        <v>209.13646553334564</v>
      </c>
      <c r="S360" s="22">
        <f>Q360/MAX(Q$6:Q360)-1</f>
        <v>-4.5413418893766933E-2</v>
      </c>
      <c r="T360" s="22">
        <f>R360/MAX(R$6:R360)-1</f>
        <v>-6.045722150653221E-2</v>
      </c>
    </row>
    <row r="361" spans="1:20" x14ac:dyDescent="0.2">
      <c r="A361" s="18">
        <v>45149</v>
      </c>
      <c r="B361" s="19">
        <v>454.05</v>
      </c>
      <c r="C361" s="19">
        <v>166.2</v>
      </c>
      <c r="D361" s="19">
        <v>61.17</v>
      </c>
      <c r="E361" s="19">
        <v>4.18</v>
      </c>
      <c r="F361" s="20">
        <v>4464.05</v>
      </c>
      <c r="H361" s="23">
        <f t="shared" si="35"/>
        <v>1.8688862963295305E-2</v>
      </c>
      <c r="I361" s="23">
        <f t="shared" si="36"/>
        <v>-1.3298503918309224E-2</v>
      </c>
      <c r="J361" s="23">
        <f t="shared" si="37"/>
        <v>7.5770054356778527E-3</v>
      </c>
      <c r="K361" s="23">
        <f>E360/100/Inputs!$B$17-'Valuation and Bond'!$B$44*(E361-E360)/100+0.5*'Valuation and Bond'!$B$45*((E361-E360)/100)^2</f>
        <v>2.563814381535873E-3</v>
      </c>
      <c r="L361" s="23">
        <f t="shared" si="38"/>
        <v>-3.1219085178079142E-3</v>
      </c>
      <c r="M361" s="23">
        <f t="shared" si="39"/>
        <v>1.1577702604430341E-3</v>
      </c>
      <c r="N361" s="23">
        <f>SUMPRODUCT(H361:K361,Portfolio!$B$23:$E$23)</f>
        <v>3.8827947155499519E-3</v>
      </c>
      <c r="O361" s="23">
        <f>SUMPRODUCT(H361:K361,Portfolio!$B$24:$E$24)</f>
        <v>4.2401300108630621E-3</v>
      </c>
      <c r="Q361" s="21">
        <f t="shared" si="40"/>
        <v>177.90822739115833</v>
      </c>
      <c r="R361" s="21">
        <f t="shared" si="41"/>
        <v>208.48356062021284</v>
      </c>
      <c r="S361" s="22">
        <f>Q361/MAX(Q$6:Q361)-1</f>
        <v>-4.4308226939144046E-2</v>
      </c>
      <c r="T361" s="22">
        <f>R361/MAX(R$6:R361)-1</f>
        <v>-6.3390388109555884E-2</v>
      </c>
    </row>
    <row r="362" spans="1:20" x14ac:dyDescent="0.2">
      <c r="A362" s="18">
        <v>45156</v>
      </c>
      <c r="B362" s="19">
        <v>450.06</v>
      </c>
      <c r="C362" s="19">
        <v>166.49</v>
      </c>
      <c r="D362" s="19">
        <v>60.95</v>
      </c>
      <c r="E362" s="19">
        <v>4.3899999999999997</v>
      </c>
      <c r="F362" s="20">
        <v>4369.71</v>
      </c>
      <c r="H362" s="23">
        <f t="shared" si="35"/>
        <v>-8.7875784605220275E-3</v>
      </c>
      <c r="I362" s="23">
        <f t="shared" si="36"/>
        <v>1.7448856799038293E-3</v>
      </c>
      <c r="J362" s="23">
        <f t="shared" si="37"/>
        <v>-3.5965342488147867E-3</v>
      </c>
      <c r="K362" s="23">
        <f>E361/100/Inputs!$B$17-'Valuation and Bond'!$B$44*(E362-E361)/100+0.5*'Valuation and Bond'!$B$45*((E362-E361)/100)^2</f>
        <v>-8.3362439672004397E-3</v>
      </c>
      <c r="L362" s="23">
        <f t="shared" si="38"/>
        <v>-2.1133275836964227E-2</v>
      </c>
      <c r="M362" s="23">
        <f t="shared" si="39"/>
        <v>-3.4696209740659838E-3</v>
      </c>
      <c r="N362" s="23">
        <f>SUMPRODUCT(H362:K362,Portfolio!$B$23:$E$23)</f>
        <v>-4.7438677491583557E-3</v>
      </c>
      <c r="O362" s="23">
        <f>SUMPRODUCT(H362:K362,Portfolio!$B$24:$E$24)</f>
        <v>-5.4543397364957662E-3</v>
      </c>
      <c r="Q362" s="21">
        <f t="shared" si="40"/>
        <v>177.29095327394307</v>
      </c>
      <c r="R362" s="21">
        <f t="shared" si="41"/>
        <v>204.07762002615343</v>
      </c>
      <c r="S362" s="22">
        <f>Q362/MAX(Q$6:Q362)-1</f>
        <v>-4.7624115159698222E-2</v>
      </c>
      <c r="T362" s="22">
        <f>R362/MAX(R$6:R362)-1</f>
        <v>-8.318401738918868E-2</v>
      </c>
    </row>
    <row r="363" spans="1:20" x14ac:dyDescent="0.2">
      <c r="A363" s="18">
        <v>45163</v>
      </c>
      <c r="B363" s="19">
        <v>451.09</v>
      </c>
      <c r="C363" s="19">
        <v>167.81</v>
      </c>
      <c r="D363" s="19">
        <v>60.39</v>
      </c>
      <c r="E363" s="19">
        <v>4.43</v>
      </c>
      <c r="F363" s="20">
        <v>4405.71</v>
      </c>
      <c r="H363" s="23">
        <f t="shared" si="35"/>
        <v>2.2885837443895607E-3</v>
      </c>
      <c r="I363" s="23">
        <f t="shared" si="36"/>
        <v>7.9284041083547141E-3</v>
      </c>
      <c r="J363" s="23">
        <f t="shared" si="37"/>
        <v>-9.187858900738366E-3</v>
      </c>
      <c r="K363" s="23">
        <f>E362/100/Inputs!$B$17-'Valuation and Bond'!$B$44*(E363-E362)/100+0.5*'Valuation and Bond'!$B$45*((E363-E362)/100)^2</f>
        <v>-9.044271113645972E-4</v>
      </c>
      <c r="L363" s="23">
        <f t="shared" si="38"/>
        <v>8.2385329918919226E-3</v>
      </c>
      <c r="M363" s="23">
        <f t="shared" si="39"/>
        <v>-3.6217709938344558E-4</v>
      </c>
      <c r="N363" s="23">
        <f>SUMPRODUCT(H363:K363,Portfolio!$B$23:$E$23)</f>
        <v>3.1175460160327904E-5</v>
      </c>
      <c r="O363" s="23">
        <f>SUMPRODUCT(H363:K363,Portfolio!$B$24:$E$24)</f>
        <v>-2.1289795056279454E-3</v>
      </c>
      <c r="Q363" s="21">
        <f t="shared" si="40"/>
        <v>177.2267425507394</v>
      </c>
      <c r="R363" s="21">
        <f t="shared" si="41"/>
        <v>205.75892023164567</v>
      </c>
      <c r="S363" s="22">
        <f>Q363/MAX(Q$6:Q363)-1</f>
        <v>-4.7969043895192409E-2</v>
      </c>
      <c r="T363" s="22">
        <f>R363/MAX(R$6:R363)-1</f>
        <v>-7.5630798668955723E-2</v>
      </c>
    </row>
    <row r="364" spans="1:20" x14ac:dyDescent="0.2">
      <c r="A364" s="18">
        <v>45170</v>
      </c>
      <c r="B364" s="19">
        <v>448.18</v>
      </c>
      <c r="C364" s="19">
        <v>169.83</v>
      </c>
      <c r="D364" s="19">
        <v>59.31</v>
      </c>
      <c r="E364" s="19">
        <v>4.29</v>
      </c>
      <c r="F364" s="20">
        <v>4515.7700000000004</v>
      </c>
      <c r="H364" s="23">
        <f t="shared" si="35"/>
        <v>-6.4510408122546714E-3</v>
      </c>
      <c r="I364" s="23">
        <f t="shared" si="36"/>
        <v>1.203742327632451E-2</v>
      </c>
      <c r="J364" s="23">
        <f t="shared" si="37"/>
        <v>-1.7883755588673611E-2</v>
      </c>
      <c r="K364" s="23">
        <f>E363/100/Inputs!$B$17-'Valuation and Bond'!$B$44*(E364-E363)/100+0.5*'Valuation and Bond'!$B$45*((E364-E363)/100)^2</f>
        <v>7.0007177192979485E-3</v>
      </c>
      <c r="L364" s="23">
        <f t="shared" si="38"/>
        <v>2.4981217556307778E-2</v>
      </c>
      <c r="M364" s="23">
        <f t="shared" si="39"/>
        <v>-1.5180371937544099E-3</v>
      </c>
      <c r="N364" s="23">
        <f>SUMPRODUCT(H364:K364,Portfolio!$B$23:$E$23)</f>
        <v>-1.3241638513264559E-3</v>
      </c>
      <c r="O364" s="23">
        <f>SUMPRODUCT(H364:K364,Portfolio!$B$24:$E$24)</f>
        <v>-2.4947252490788345E-3</v>
      </c>
      <c r="Q364" s="21">
        <f t="shared" si="40"/>
        <v>176.95770576381943</v>
      </c>
      <c r="R364" s="21">
        <f t="shared" si="41"/>
        <v>210.8990285821034</v>
      </c>
      <c r="S364" s="22">
        <f>Q364/MAX(Q$6:Q364)-1</f>
        <v>-4.9414262296165079E-2</v>
      </c>
      <c r="T364" s="22">
        <f>R364/MAX(R$6:R364)-1</f>
        <v>-5.2538930548154394E-2</v>
      </c>
    </row>
    <row r="365" spans="1:20" x14ac:dyDescent="0.2">
      <c r="A365" s="18">
        <v>45177</v>
      </c>
      <c r="B365" s="19">
        <v>423.09</v>
      </c>
      <c r="C365" s="19">
        <v>164.66</v>
      </c>
      <c r="D365" s="19">
        <v>58.33</v>
      </c>
      <c r="E365" s="19">
        <v>4.4000000000000004</v>
      </c>
      <c r="F365" s="20">
        <v>4457.49</v>
      </c>
      <c r="H365" s="23">
        <f t="shared" si="35"/>
        <v>-5.5981971529296293E-2</v>
      </c>
      <c r="I365" s="23">
        <f t="shared" si="36"/>
        <v>-3.04422069127952E-2</v>
      </c>
      <c r="J365" s="23">
        <f t="shared" si="37"/>
        <v>-1.6523351879952908E-2</v>
      </c>
      <c r="K365" s="23">
        <f>E364/100/Inputs!$B$17-'Valuation and Bond'!$B$44*(E365-E364)/100+0.5*'Valuation and Bond'!$B$45*((E365-E364)/100)^2</f>
        <v>-3.9751032643260947E-3</v>
      </c>
      <c r="L365" s="23">
        <f t="shared" si="38"/>
        <v>-1.290588316056851E-2</v>
      </c>
      <c r="M365" s="23">
        <f t="shared" si="39"/>
        <v>-2.3835191421203501E-2</v>
      </c>
      <c r="N365" s="23">
        <f>SUMPRODUCT(H365:K365,Portfolio!$B$23:$E$23)</f>
        <v>-2.6730658396592624E-2</v>
      </c>
      <c r="O365" s="23">
        <f>SUMPRODUCT(H365:K365,Portfolio!$B$24:$E$24)</f>
        <v>-1.8433124912850863E-2</v>
      </c>
      <c r="Q365" s="21">
        <f t="shared" si="40"/>
        <v>172.73988497348179</v>
      </c>
      <c r="R365" s="21">
        <f t="shared" si="41"/>
        <v>208.17719036054538</v>
      </c>
      <c r="S365" s="22">
        <f>Q365/MAX(Q$6:Q365)-1</f>
        <v>-7.2071655316601979E-2</v>
      </c>
      <c r="T365" s="22">
        <f>R365/MAX(R$6:R365)-1</f>
        <v>-6.4766752409687101E-2</v>
      </c>
    </row>
    <row r="366" spans="1:20" x14ac:dyDescent="0.2">
      <c r="A366" s="18">
        <v>45184</v>
      </c>
      <c r="B366" s="19">
        <v>424.05</v>
      </c>
      <c r="C366" s="19">
        <v>162.62</v>
      </c>
      <c r="D366" s="19">
        <v>57.94</v>
      </c>
      <c r="E366" s="19">
        <v>4.41</v>
      </c>
      <c r="F366" s="20">
        <v>4450.32</v>
      </c>
      <c r="H366" s="23">
        <f t="shared" si="35"/>
        <v>2.2690207757216641E-3</v>
      </c>
      <c r="I366" s="23">
        <f t="shared" si="36"/>
        <v>-1.2389165553261194E-2</v>
      </c>
      <c r="J366" s="23">
        <f t="shared" si="37"/>
        <v>-6.6860963483628133E-3</v>
      </c>
      <c r="K366" s="23">
        <f>E365/100/Inputs!$B$17-'Valuation and Bond'!$B$44*(E366-E365)/100+0.5*'Valuation and Bond'!$B$45*((E366-E365)/100)^2</f>
        <v>4.0865018481107257E-4</v>
      </c>
      <c r="L366" s="23">
        <f t="shared" si="38"/>
        <v>-1.6085285665251581E-3</v>
      </c>
      <c r="M366" s="23">
        <f t="shared" si="39"/>
        <v>-5.962606860403309E-3</v>
      </c>
      <c r="N366" s="23">
        <f>SUMPRODUCT(H366:K366,Portfolio!$B$23:$E$23)</f>
        <v>-4.0993977352728177E-3</v>
      </c>
      <c r="O366" s="23">
        <f>SUMPRODUCT(H366:K366,Portfolio!$B$24:$E$24)</f>
        <v>-3.4489695005273154E-3</v>
      </c>
      <c r="Q366" s="21">
        <f t="shared" si="40"/>
        <v>171.70990495027362</v>
      </c>
      <c r="R366" s="21">
        <f t="shared" si="41"/>
        <v>207.84233140295149</v>
      </c>
      <c r="S366" s="22">
        <f>Q366/MAX(Q$6:Q366)-1</f>
        <v>-7.7604527230573872E-2</v>
      </c>
      <c r="T366" s="22">
        <f>R366/MAX(R$6:R366)-1</f>
        <v>-6.6271101804800336E-2</v>
      </c>
    </row>
    <row r="367" spans="1:20" x14ac:dyDescent="0.2">
      <c r="A367" s="18">
        <v>45191</v>
      </c>
      <c r="B367" s="19">
        <v>413.65</v>
      </c>
      <c r="C367" s="19">
        <v>160.31</v>
      </c>
      <c r="D367" s="19">
        <v>57.6</v>
      </c>
      <c r="E367" s="19">
        <v>4.53</v>
      </c>
      <c r="F367" s="20">
        <v>4320.0600000000004</v>
      </c>
      <c r="H367" s="23">
        <f t="shared" si="35"/>
        <v>-2.4525409739417636E-2</v>
      </c>
      <c r="I367" s="23">
        <f t="shared" si="36"/>
        <v>-1.4204894846882365E-2</v>
      </c>
      <c r="J367" s="23">
        <f t="shared" si="37"/>
        <v>-5.8681394546081789E-3</v>
      </c>
      <c r="K367" s="23">
        <f>E366/100/Inputs!$B$17-'Valuation and Bond'!$B$44*(E367-E366)/100+0.5*'Valuation and Bond'!$B$45*((E367-E366)/100)^2</f>
        <v>-4.3870426005030395E-3</v>
      </c>
      <c r="L367" s="23">
        <f t="shared" si="38"/>
        <v>-2.9269805317370334E-2</v>
      </c>
      <c r="M367" s="23">
        <f t="shared" si="39"/>
        <v>-1.0795137675974885E-2</v>
      </c>
      <c r="N367" s="23">
        <f>SUMPRODUCT(H367:K367,Portfolio!$B$23:$E$23)</f>
        <v>-1.2246371660352804E-2</v>
      </c>
      <c r="O367" s="23">
        <f>SUMPRODUCT(H367:K367,Portfolio!$B$24:$E$24)</f>
        <v>-8.7844092666151639E-3</v>
      </c>
      <c r="Q367" s="21">
        <f t="shared" si="40"/>
        <v>169.85627288600688</v>
      </c>
      <c r="R367" s="21">
        <f t="shared" si="41"/>
        <v>201.75882682607872</v>
      </c>
      <c r="S367" s="22">
        <f>Q367/MAX(Q$6:Q367)-1</f>
        <v>-8.7561913350815646E-2</v>
      </c>
      <c r="T367" s="22">
        <f>R367/MAX(R$6:R367)-1</f>
        <v>-9.3601164874176579E-2</v>
      </c>
    </row>
    <row r="368" spans="1:20" x14ac:dyDescent="0.2">
      <c r="A368" s="18">
        <v>45198</v>
      </c>
      <c r="B368" s="19">
        <v>408.96</v>
      </c>
      <c r="C368" s="19">
        <v>159.01</v>
      </c>
      <c r="D368" s="19">
        <v>55.98</v>
      </c>
      <c r="E368" s="19">
        <v>4.63</v>
      </c>
      <c r="F368" s="20">
        <v>4288.05</v>
      </c>
      <c r="H368" s="23">
        <f t="shared" si="35"/>
        <v>-1.1338087755348725E-2</v>
      </c>
      <c r="I368" s="23">
        <f t="shared" si="36"/>
        <v>-8.1092882540079181E-3</v>
      </c>
      <c r="J368" s="23">
        <f t="shared" si="37"/>
        <v>-2.8125000000000067E-2</v>
      </c>
      <c r="K368" s="23">
        <f>E367/100/Inputs!$B$17-'Valuation and Bond'!$B$44*(E368-E367)/100+0.5*'Valuation and Bond'!$B$45*((E368-E367)/100)^2</f>
        <v>-3.4937070314557152E-3</v>
      </c>
      <c r="L368" s="23">
        <f t="shared" si="38"/>
        <v>-7.4096193108429409E-3</v>
      </c>
      <c r="M368" s="23">
        <f t="shared" si="39"/>
        <v>-1.4369290657697485E-2</v>
      </c>
      <c r="N368" s="23">
        <f>SUMPRODUCT(H368:K368,Portfolio!$B$23:$E$23)</f>
        <v>-1.2766520760203105E-2</v>
      </c>
      <c r="O368" s="23">
        <f>SUMPRODUCT(H368:K368,Portfolio!$B$24:$E$24)</f>
        <v>-1.3458569589077407E-2</v>
      </c>
      <c r="Q368" s="21">
        <f t="shared" si="40"/>
        <v>167.41555873087466</v>
      </c>
      <c r="R368" s="21">
        <f t="shared" si="41"/>
        <v>200.26387072669519</v>
      </c>
      <c r="S368" s="22">
        <f>Q368/MAX(Q$6:Q368)-1</f>
        <v>-0.10067300142503122</v>
      </c>
      <c r="T368" s="22">
        <f>R368/MAX(R$6:R368)-1</f>
        <v>-0.10031723518625046</v>
      </c>
    </row>
    <row r="369" spans="1:20" x14ac:dyDescent="0.2">
      <c r="A369" s="18">
        <v>45205</v>
      </c>
      <c r="B369" s="19">
        <v>400.73</v>
      </c>
      <c r="C369" s="19">
        <v>157</v>
      </c>
      <c r="D369" s="19">
        <v>53.14</v>
      </c>
      <c r="E369" s="19">
        <v>4.7300000000000004</v>
      </c>
      <c r="F369" s="20">
        <v>4308.5</v>
      </c>
      <c r="H369" s="23">
        <f t="shared" si="35"/>
        <v>-2.0124217527386468E-2</v>
      </c>
      <c r="I369" s="23">
        <f t="shared" si="36"/>
        <v>-1.2640714420476651E-2</v>
      </c>
      <c r="J369" s="23">
        <f t="shared" si="37"/>
        <v>-5.0732404430153588E-2</v>
      </c>
      <c r="K369" s="23">
        <f>E368/100/Inputs!$B$17-'Valuation and Bond'!$B$44*(E369-E368)/100+0.5*'Valuation and Bond'!$B$45*((E369-E368)/100)^2</f>
        <v>-3.4744762622249846E-3</v>
      </c>
      <c r="L369" s="23">
        <f t="shared" si="38"/>
        <v>4.7690675248655001E-3</v>
      </c>
      <c r="M369" s="23">
        <f t="shared" si="39"/>
        <v>-2.4654976328757836E-2</v>
      </c>
      <c r="N369" s="23">
        <f>SUMPRODUCT(H369:K369,Portfolio!$B$23:$E$23)</f>
        <v>-2.1742953160060422E-2</v>
      </c>
      <c r="O369" s="23">
        <f>SUMPRODUCT(H369:K369,Portfolio!$B$24:$E$24)</f>
        <v>-2.2840498113934238E-2</v>
      </c>
      <c r="Q369" s="21">
        <f t="shared" si="40"/>
        <v>163.28793209329919</v>
      </c>
      <c r="R369" s="21">
        <f t="shared" si="41"/>
        <v>201.21894264898174</v>
      </c>
      <c r="S369" s="22">
        <f>Q369/MAX(Q$6:Q369)-1</f>
        <v>-0.12284588728670987</v>
      </c>
      <c r="T369" s="22">
        <f>R369/MAX(R$6:R369)-1</f>
        <v>-9.6026587329895885E-2</v>
      </c>
    </row>
    <row r="370" spans="1:20" x14ac:dyDescent="0.2">
      <c r="A370" s="18">
        <v>45212</v>
      </c>
      <c r="B370" s="19">
        <v>441.06</v>
      </c>
      <c r="C370" s="19">
        <v>152.75</v>
      </c>
      <c r="D370" s="19">
        <v>52.89</v>
      </c>
      <c r="E370" s="19">
        <v>4.6399999999999997</v>
      </c>
      <c r="F370" s="20">
        <v>4327.78</v>
      </c>
      <c r="H370" s="23">
        <f t="shared" si="35"/>
        <v>0.10064132957352823</v>
      </c>
      <c r="I370" s="23">
        <f t="shared" si="36"/>
        <v>-2.7070063694267565E-2</v>
      </c>
      <c r="J370" s="23">
        <f t="shared" si="37"/>
        <v>-4.7045540082799597E-3</v>
      </c>
      <c r="K370" s="23">
        <f>E369/100/Inputs!$B$17-'Valuation and Bond'!$B$44*(E370-E369)/100+0.5*'Valuation and Bond'!$B$45*((E370-E369)/100)^2</f>
        <v>4.8573240725187173E-3</v>
      </c>
      <c r="L370" s="23">
        <f t="shared" si="38"/>
        <v>4.4748752466055031E-3</v>
      </c>
      <c r="M370" s="23">
        <f t="shared" si="39"/>
        <v>3.7855329860934507E-3</v>
      </c>
      <c r="N370" s="23">
        <f>SUMPRODUCT(H370:K370,Portfolio!$B$23:$E$23)</f>
        <v>1.8431008985874856E-2</v>
      </c>
      <c r="O370" s="23">
        <f>SUMPRODUCT(H370:K370,Portfolio!$B$24:$E$24)</f>
        <v>9.7380881353098248E-3</v>
      </c>
      <c r="Q370" s="21">
        <f t="shared" si="40"/>
        <v>163.90606394646935</v>
      </c>
      <c r="R370" s="21">
        <f t="shared" si="41"/>
        <v>202.11937231458981</v>
      </c>
      <c r="S370" s="22">
        <f>Q370/MAX(Q$6:Q370)-1</f>
        <v>-0.1195253914591462</v>
      </c>
      <c r="T370" s="22">
        <f>R370/MAX(R$6:R370)-1</f>
        <v>-9.1981419081948901E-2</v>
      </c>
    </row>
    <row r="371" spans="1:20" x14ac:dyDescent="0.2">
      <c r="A371" s="18">
        <v>45219</v>
      </c>
      <c r="B371" s="19">
        <v>444.17</v>
      </c>
      <c r="C371" s="19">
        <v>147.81</v>
      </c>
      <c r="D371" s="19">
        <v>54.57</v>
      </c>
      <c r="E371" s="19">
        <v>4.8600000000000003</v>
      </c>
      <c r="F371" s="20">
        <v>4224.16</v>
      </c>
      <c r="H371" s="23">
        <f t="shared" si="35"/>
        <v>7.0511948487734788E-3</v>
      </c>
      <c r="I371" s="23">
        <f t="shared" si="36"/>
        <v>-3.2340425531914851E-2</v>
      </c>
      <c r="J371" s="23">
        <f t="shared" si="37"/>
        <v>3.1764038570618158E-2</v>
      </c>
      <c r="K371" s="23">
        <f>E370/100/Inputs!$B$17-'Valuation and Bond'!$B$44*(E371-E370)/100+0.5*'Valuation and Bond'!$B$45*((E371-E370)/100)^2</f>
        <v>-8.6805374133665288E-3</v>
      </c>
      <c r="L371" s="23">
        <f t="shared" si="38"/>
        <v>-2.3942991556872073E-2</v>
      </c>
      <c r="M371" s="23">
        <f t="shared" si="39"/>
        <v>-7.5380157315909258E-4</v>
      </c>
      <c r="N371" s="23">
        <f>SUMPRODUCT(H371:K371,Portfolio!$B$23:$E$23)</f>
        <v>-5.5143238147243581E-4</v>
      </c>
      <c r="O371" s="23">
        <f>SUMPRODUCT(H371:K371,Portfolio!$B$24:$E$24)</f>
        <v>3.9132915741031341E-3</v>
      </c>
      <c r="Q371" s="21">
        <f t="shared" si="40"/>
        <v>163.7825112976162</v>
      </c>
      <c r="R371" s="21">
        <f t="shared" si="41"/>
        <v>197.2800298897813</v>
      </c>
      <c r="S371" s="22">
        <f>Q371/MAX(Q$6:Q371)-1</f>
        <v>-0.12018909460419092</v>
      </c>
      <c r="T371" s="22">
        <f>R371/MAX(R$6:R371)-1</f>
        <v>-0.11372210029835284</v>
      </c>
    </row>
    <row r="372" spans="1:20" x14ac:dyDescent="0.2">
      <c r="A372" s="18">
        <v>45226</v>
      </c>
      <c r="B372" s="19">
        <v>443.39</v>
      </c>
      <c r="C372" s="19">
        <v>143.12</v>
      </c>
      <c r="D372" s="19">
        <v>55.24</v>
      </c>
      <c r="E372" s="19">
        <v>4.8099999999999996</v>
      </c>
      <c r="F372" s="20">
        <v>4117.37</v>
      </c>
      <c r="H372" s="23">
        <f t="shared" si="35"/>
        <v>-1.7560843821060601E-3</v>
      </c>
      <c r="I372" s="23">
        <f t="shared" si="36"/>
        <v>-3.1729923550503969E-2</v>
      </c>
      <c r="J372" s="23">
        <f t="shared" si="37"/>
        <v>1.2277808319589578E-2</v>
      </c>
      <c r="K372" s="23">
        <f>E371/100/Inputs!$B$17-'Valuation and Bond'!$B$44*(E372-E371)/100+0.5*'Valuation and Bond'!$B$45*((E372-E371)/100)^2</f>
        <v>3.125525603268748E-3</v>
      </c>
      <c r="L372" s="23">
        <f t="shared" si="38"/>
        <v>-2.5280765880080325E-2</v>
      </c>
      <c r="M372" s="23">
        <f t="shared" si="39"/>
        <v>-5.9346905237801315E-3</v>
      </c>
      <c r="N372" s="23">
        <f>SUMPRODUCT(H372:K372,Portfolio!$B$23:$E$23)</f>
        <v>-4.5206685024379257E-3</v>
      </c>
      <c r="O372" s="23">
        <f>SUMPRODUCT(H372:K372,Portfolio!$B$24:$E$24)</f>
        <v>9.8130276421229336E-4</v>
      </c>
      <c r="Q372" s="21">
        <f t="shared" si="40"/>
        <v>162.81051277985731</v>
      </c>
      <c r="R372" s="21">
        <f t="shared" si="41"/>
        <v>192.29263964132249</v>
      </c>
      <c r="S372" s="22">
        <f>Q372/MAX(Q$6:Q372)-1</f>
        <v>-0.12541050004716192</v>
      </c>
      <c r="T372" s="22">
        <f>R372/MAX(R$6:R372)-1</f>
        <v>-0.13612788438539947</v>
      </c>
    </row>
    <row r="373" spans="1:20" x14ac:dyDescent="0.2">
      <c r="A373" s="18">
        <v>45233</v>
      </c>
      <c r="B373" s="19">
        <v>453.34</v>
      </c>
      <c r="C373" s="19">
        <v>150.22999999999999</v>
      </c>
      <c r="D373" s="19">
        <v>56.74</v>
      </c>
      <c r="E373" s="19">
        <v>4.6900000000000004</v>
      </c>
      <c r="F373" s="20">
        <v>4358.34</v>
      </c>
      <c r="H373" s="23">
        <f t="shared" si="35"/>
        <v>2.2440740657209135E-2</v>
      </c>
      <c r="I373" s="23">
        <f t="shared" si="36"/>
        <v>4.9678591391838944E-2</v>
      </c>
      <c r="J373" s="23">
        <f t="shared" si="37"/>
        <v>2.7154236060825454E-2</v>
      </c>
      <c r="K373" s="23">
        <f>E372/100/Inputs!$B$17-'Valuation and Bond'!$B$44*(E373-E372)/100+0.5*'Valuation and Bond'!$B$45*((E373-E372)/100)^2</f>
        <v>6.1926818781983329E-3</v>
      </c>
      <c r="L373" s="23">
        <f t="shared" si="38"/>
        <v>5.852522362576118E-2</v>
      </c>
      <c r="M373" s="23">
        <f t="shared" si="39"/>
        <v>2.9770424342555318E-2</v>
      </c>
      <c r="N373" s="23">
        <f>SUMPRODUCT(H373:K373,Portfolio!$B$23:$E$23)</f>
        <v>2.6366562497017968E-2</v>
      </c>
      <c r="O373" s="23">
        <f>SUMPRODUCT(H373:K373,Portfolio!$B$24:$E$24)</f>
        <v>2.1144269476074649E-2</v>
      </c>
      <c r="Q373" s="21">
        <f t="shared" si="40"/>
        <v>167.65745083274268</v>
      </c>
      <c r="R373" s="21">
        <f t="shared" si="41"/>
        <v>203.5466093779188</v>
      </c>
      <c r="S373" s="22">
        <f>Q373/MAX(Q$6:Q373)-1</f>
        <v>-9.9373599508022603E-2</v>
      </c>
      <c r="T373" s="22">
        <f>R373/MAX(R$6:R373)-1</f>
        <v>-8.5569575634995565E-2</v>
      </c>
    </row>
    <row r="374" spans="1:20" x14ac:dyDescent="0.2">
      <c r="A374" s="18">
        <v>45240</v>
      </c>
      <c r="B374" s="19">
        <v>444.87</v>
      </c>
      <c r="C374" s="19">
        <v>147.19</v>
      </c>
      <c r="D374" s="19">
        <v>56.72</v>
      </c>
      <c r="E374" s="19">
        <v>4.59</v>
      </c>
      <c r="F374" s="20">
        <v>4415.24</v>
      </c>
      <c r="H374" s="23">
        <f t="shared" si="35"/>
        <v>-1.8683548771341485E-2</v>
      </c>
      <c r="I374" s="23">
        <f t="shared" si="36"/>
        <v>-2.0235638687346014E-2</v>
      </c>
      <c r="J374" s="23">
        <f t="shared" si="37"/>
        <v>-3.5248501938678345E-4</v>
      </c>
      <c r="K374" s="23">
        <f>E373/100/Inputs!$B$17-'Valuation and Bond'!$B$44*(E374-E373)/100+0.5*'Valuation and Bond'!$B$45*((E374-E373)/100)^2</f>
        <v>5.2893967007954616E-3</v>
      </c>
      <c r="L374" s="23">
        <f t="shared" si="38"/>
        <v>1.3055429360719906E-2</v>
      </c>
      <c r="M374" s="23">
        <f t="shared" si="39"/>
        <v>-8.2144153329108786E-3</v>
      </c>
      <c r="N374" s="23">
        <f>SUMPRODUCT(H374:K374,Portfolio!$B$23:$E$23)</f>
        <v>-8.4955689443197042E-3</v>
      </c>
      <c r="O374" s="23">
        <f>SUMPRODUCT(H374:K374,Portfolio!$B$24:$E$24)</f>
        <v>-3.0911359945786482E-3</v>
      </c>
      <c r="Q374" s="21">
        <f t="shared" si="40"/>
        <v>166.28024289794544</v>
      </c>
      <c r="R374" s="21">
        <f t="shared" si="41"/>
        <v>206.20399775826627</v>
      </c>
      <c r="S374" s="22">
        <f>Q374/MAX(Q$6:Q374)-1</f>
        <v>-0.10677171882144831</v>
      </c>
      <c r="T374" s="22">
        <f>R374/MAX(R$6:R374)-1</f>
        <v>-7.3631293824405031E-2</v>
      </c>
    </row>
    <row r="375" spans="1:20" x14ac:dyDescent="0.2">
      <c r="A375" s="18">
        <v>45247</v>
      </c>
      <c r="B375" s="19">
        <v>444.68</v>
      </c>
      <c r="C375" s="19">
        <v>154.62</v>
      </c>
      <c r="D375" s="19">
        <v>57.26</v>
      </c>
      <c r="E375" s="19">
        <v>4.5</v>
      </c>
      <c r="F375" s="20">
        <v>4514.0200000000004</v>
      </c>
      <c r="H375" s="23">
        <f t="shared" si="35"/>
        <v>-4.2709106030980326E-4</v>
      </c>
      <c r="I375" s="23">
        <f t="shared" si="36"/>
        <v>5.0478972756301532E-2</v>
      </c>
      <c r="J375" s="23">
        <f t="shared" si="37"/>
        <v>9.5204513399154145E-3</v>
      </c>
      <c r="K375" s="23">
        <f>E374/100/Inputs!$B$17-'Valuation and Bond'!$B$44*(E375-E374)/100+0.5*'Valuation and Bond'!$B$45*((E375-E374)/100)^2</f>
        <v>4.8304009955956011E-3</v>
      </c>
      <c r="L375" s="23">
        <f t="shared" si="38"/>
        <v>2.2372509761643844E-2</v>
      </c>
      <c r="M375" s="23">
        <f t="shared" si="39"/>
        <v>2.078070397042903E-2</v>
      </c>
      <c r="N375" s="23">
        <f>SUMPRODUCT(H375:K375,Portfolio!$B$23:$E$23)</f>
        <v>1.6100683507875687E-2</v>
      </c>
      <c r="O375" s="23">
        <f>SUMPRODUCT(H375:K375,Portfolio!$B$24:$E$24)</f>
        <v>1.1785101222327982E-2</v>
      </c>
      <c r="Q375" s="21">
        <f t="shared" si="40"/>
        <v>169.73566340173869</v>
      </c>
      <c r="R375" s="21">
        <f t="shared" si="41"/>
        <v>210.81729871100308</v>
      </c>
      <c r="S375" s="22">
        <f>Q375/MAX(Q$6:Q375)-1</f>
        <v>-8.8209806332261609E-2</v>
      </c>
      <c r="T375" s="22">
        <f>R375/MAX(R$6:R375)-1</f>
        <v>-5.2906100902610165E-2</v>
      </c>
    </row>
    <row r="376" spans="1:20" x14ac:dyDescent="0.2">
      <c r="A376" s="18">
        <v>45254</v>
      </c>
      <c r="B376" s="19">
        <v>452.01</v>
      </c>
      <c r="C376" s="19">
        <v>153.59</v>
      </c>
      <c r="D376" s="19">
        <v>58.57</v>
      </c>
      <c r="E376" s="19">
        <v>4.45</v>
      </c>
      <c r="F376" s="20">
        <v>4559.34</v>
      </c>
      <c r="H376" s="23">
        <f t="shared" si="35"/>
        <v>1.6483763605289248E-2</v>
      </c>
      <c r="I376" s="23">
        <f t="shared" si="36"/>
        <v>-6.6614926917604178E-3</v>
      </c>
      <c r="J376" s="23">
        <f t="shared" si="37"/>
        <v>2.2878099895214943E-2</v>
      </c>
      <c r="K376" s="23">
        <f>E375/100/Inputs!$B$17-'Valuation and Bond'!$B$44*(E376-E375)/100+0.5*'Valuation and Bond'!$B$45*((E376-E375)/100)^2</f>
        <v>3.0562948340379405E-3</v>
      </c>
      <c r="L376" s="23">
        <f t="shared" si="38"/>
        <v>1.003983145843379E-2</v>
      </c>
      <c r="M376" s="23">
        <f t="shared" si="39"/>
        <v>8.3184237708625198E-3</v>
      </c>
      <c r="N376" s="23">
        <f>SUMPRODUCT(H376:K376,Portfolio!$B$23:$E$23)</f>
        <v>8.9391664106954274E-3</v>
      </c>
      <c r="O376" s="23">
        <f>SUMPRODUCT(H376:K376,Portfolio!$B$24:$E$24)</f>
        <v>1.0214105864457181E-2</v>
      </c>
      <c r="Q376" s="21">
        <f t="shared" si="40"/>
        <v>171.14759657894282</v>
      </c>
      <c r="R376" s="21">
        <f t="shared" si="41"/>
        <v>212.93386885858385</v>
      </c>
      <c r="S376" s="22">
        <f>Q376/MAX(Q$6:Q376)-1</f>
        <v>-8.0625149111216654E-2</v>
      </c>
      <c r="T376" s="22">
        <f>R376/MAX(R$6:R376)-1</f>
        <v>-4.3397437780361425E-2</v>
      </c>
    </row>
    <row r="377" spans="1:20" x14ac:dyDescent="0.2">
      <c r="A377" s="18">
        <v>45261</v>
      </c>
      <c r="B377" s="19">
        <v>449.41</v>
      </c>
      <c r="C377" s="19">
        <v>155.21</v>
      </c>
      <c r="D377" s="19">
        <v>58.64</v>
      </c>
      <c r="E377" s="19">
        <v>4.2699999999999996</v>
      </c>
      <c r="F377" s="20">
        <v>4594.63</v>
      </c>
      <c r="H377" s="23">
        <f t="shared" si="35"/>
        <v>-5.7520851308598964E-3</v>
      </c>
      <c r="I377" s="23">
        <f t="shared" si="36"/>
        <v>1.0547561690214202E-2</v>
      </c>
      <c r="J377" s="23">
        <f t="shared" si="37"/>
        <v>1.1951511012464611E-3</v>
      </c>
      <c r="K377" s="23">
        <f>E376/100/Inputs!$B$17-'Valuation and Bond'!$B$44*(E377-E376)/100+0.5*'Valuation and Bond'!$B$45*((E377-E376)/100)^2</f>
        <v>8.7695029310487123E-3</v>
      </c>
      <c r="L377" s="23">
        <f t="shared" si="38"/>
        <v>7.740155373365365E-3</v>
      </c>
      <c r="M377" s="23">
        <f t="shared" si="39"/>
        <v>4.875808160812174E-3</v>
      </c>
      <c r="N377" s="23">
        <f>SUMPRODUCT(H377:K377,Portfolio!$B$23:$E$23)</f>
        <v>3.6900326479123698E-3</v>
      </c>
      <c r="O377" s="23">
        <f>SUMPRODUCT(H377:K377,Portfolio!$B$24:$E$24)</f>
        <v>4.5676522448281813E-3</v>
      </c>
      <c r="Q377" s="21">
        <f t="shared" si="40"/>
        <v>171.98207942704585</v>
      </c>
      <c r="R377" s="21">
        <f t="shared" si="41"/>
        <v>214.58201008780108</v>
      </c>
      <c r="S377" s="22">
        <f>Q377/MAX(Q$6:Q377)-1</f>
        <v>-7.6142453710407509E-2</v>
      </c>
      <c r="T377" s="22">
        <f>R377/MAX(R$6:R377)-1</f>
        <v>-3.5993185318222043E-2</v>
      </c>
    </row>
    <row r="378" spans="1:20" x14ac:dyDescent="0.2">
      <c r="A378" s="18">
        <v>45268</v>
      </c>
      <c r="B378" s="19">
        <v>448.02</v>
      </c>
      <c r="C378" s="19">
        <v>157.03</v>
      </c>
      <c r="D378" s="19">
        <v>58.61</v>
      </c>
      <c r="E378" s="19">
        <v>4.17</v>
      </c>
      <c r="F378" s="20">
        <v>4604.37</v>
      </c>
      <c r="H378" s="23">
        <f t="shared" si="35"/>
        <v>-3.0929440822412557E-3</v>
      </c>
      <c r="I378" s="23">
        <f t="shared" si="36"/>
        <v>1.1726048579344006E-2</v>
      </c>
      <c r="J378" s="23">
        <f t="shared" si="37"/>
        <v>-5.1159618008189689E-4</v>
      </c>
      <c r="K378" s="23">
        <f>E377/100/Inputs!$B$17-'Valuation and Bond'!$B$44*(E378-E377)/100+0.5*'Valuation and Bond'!$B$45*((E378-E377)/100)^2</f>
        <v>5.2086274700261911E-3</v>
      </c>
      <c r="L378" s="23">
        <f t="shared" si="38"/>
        <v>2.1198660175030248E-3</v>
      </c>
      <c r="M378" s="23">
        <f t="shared" si="39"/>
        <v>4.3288427235141543E-3</v>
      </c>
      <c r="N378" s="23">
        <f>SUMPRODUCT(H378:K378,Portfolio!$B$23:$E$23)</f>
        <v>3.3325339467617614E-3</v>
      </c>
      <c r="O378" s="23">
        <f>SUMPRODUCT(H378:K378,Portfolio!$B$24:$E$24)</f>
        <v>3.0640217015209864E-3</v>
      </c>
      <c r="Q378" s="21">
        <f t="shared" si="40"/>
        <v>172.72656280014846</v>
      </c>
      <c r="R378" s="21">
        <f t="shared" si="41"/>
        <v>215.03689519895372</v>
      </c>
      <c r="S378" s="22">
        <f>Q378/MAX(Q$6:Q378)-1</f>
        <v>-7.2143219693588057E-2</v>
      </c>
      <c r="T378" s="22">
        <f>R378/MAX(R$6:R378)-1</f>
        <v>-3.3949620031136774E-2</v>
      </c>
    </row>
    <row r="379" spans="1:20" x14ac:dyDescent="0.2">
      <c r="A379" s="18">
        <v>45275</v>
      </c>
      <c r="B379" s="19">
        <v>441.81</v>
      </c>
      <c r="C379" s="19">
        <v>168.64</v>
      </c>
      <c r="D379" s="19">
        <v>58.6</v>
      </c>
      <c r="E379" s="19">
        <v>4.0599999999999996</v>
      </c>
      <c r="F379" s="20">
        <v>4719.1899999999996</v>
      </c>
      <c r="H379" s="23">
        <f t="shared" si="35"/>
        <v>-1.3860988348734393E-2</v>
      </c>
      <c r="I379" s="23">
        <f t="shared" si="36"/>
        <v>7.3934916894860869E-2</v>
      </c>
      <c r="J379" s="23">
        <f t="shared" si="37"/>
        <v>-1.7061934823403568E-4</v>
      </c>
      <c r="K379" s="23">
        <f>E378/100/Inputs!$B$17-'Valuation and Bond'!$B$44*(E379-E378)/100+0.5*'Valuation and Bond'!$B$45*((E379-E378)/100)^2</f>
        <v>5.6293877642271421E-3</v>
      </c>
      <c r="L379" s="23">
        <f t="shared" si="38"/>
        <v>2.493717924493466E-2</v>
      </c>
      <c r="M379" s="23">
        <f t="shared" si="39"/>
        <v>2.3630235141913224E-2</v>
      </c>
      <c r="N379" s="23">
        <f>SUMPRODUCT(H379:K379,Portfolio!$B$23:$E$23)</f>
        <v>1.6383174240529895E-2</v>
      </c>
      <c r="O379" s="23">
        <f>SUMPRODUCT(H379:K379,Portfolio!$B$24:$E$24)</f>
        <v>1.0196267931171706E-2</v>
      </c>
      <c r="Q379" s="21">
        <f t="shared" si="40"/>
        <v>176.80813209437042</v>
      </c>
      <c r="R379" s="21">
        <f t="shared" si="41"/>
        <v>220.39930879880424</v>
      </c>
      <c r="S379" s="22">
        <f>Q379/MAX(Q$6:Q379)-1</f>
        <v>-5.0217745796928948E-2</v>
      </c>
      <c r="T379" s="22">
        <f>R379/MAX(R$6:R379)-1</f>
        <v>-9.8590485462159982E-3</v>
      </c>
    </row>
    <row r="380" spans="1:20" x14ac:dyDescent="0.2">
      <c r="A380" s="18">
        <v>45282</v>
      </c>
      <c r="B380" s="19">
        <v>448.22</v>
      </c>
      <c r="C380" s="19">
        <v>168.24</v>
      </c>
      <c r="D380" s="19">
        <v>58.32</v>
      </c>
      <c r="E380" s="19">
        <v>3.9</v>
      </c>
      <c r="F380" s="20">
        <v>4754.63</v>
      </c>
      <c r="H380" s="23">
        <f t="shared" si="35"/>
        <v>1.4508499128584651E-2</v>
      </c>
      <c r="I380" s="23">
        <f t="shared" si="36"/>
        <v>-2.3719165085387406E-3</v>
      </c>
      <c r="J380" s="23">
        <f t="shared" si="37"/>
        <v>-4.778156996587013E-3</v>
      </c>
      <c r="K380" s="23">
        <f>E379/100/Inputs!$B$17-'Valuation and Bond'!$B$44*(E380-E379)/100+0.5*'Valuation and Bond'!$B$45*((E380-E379)/100)^2</f>
        <v>7.8115811471711327E-3</v>
      </c>
      <c r="L380" s="23">
        <f t="shared" si="38"/>
        <v>7.5097633280287734E-3</v>
      </c>
      <c r="M380" s="23">
        <f t="shared" si="39"/>
        <v>1.0893319298057916E-3</v>
      </c>
      <c r="N380" s="23">
        <f>SUMPRODUCT(H380:K380,Portfolio!$B$23:$E$23)</f>
        <v>3.7925016926575075E-3</v>
      </c>
      <c r="O380" s="23">
        <f>SUMPRODUCT(H380:K380,Portfolio!$B$24:$E$24)</f>
        <v>3.0623744760684638E-3</v>
      </c>
      <c r="Q380" s="21">
        <f t="shared" si="40"/>
        <v>177.00073483811013</v>
      </c>
      <c r="R380" s="21">
        <f t="shared" si="41"/>
        <v>222.05445544554439</v>
      </c>
      <c r="S380" s="22">
        <f>Q380/MAX(Q$6:Q380)-1</f>
        <v>-4.9183117661062647E-2</v>
      </c>
      <c r="T380" s="22">
        <f>R380/MAX(R$6:R380)-1</f>
        <v>-2.4233243394088388E-3</v>
      </c>
    </row>
    <row r="381" spans="1:20" x14ac:dyDescent="0.2">
      <c r="A381" s="18">
        <v>45289</v>
      </c>
      <c r="B381" s="19">
        <v>453.24</v>
      </c>
      <c r="C381" s="19">
        <v>170.46</v>
      </c>
      <c r="D381" s="19">
        <v>58.93</v>
      </c>
      <c r="E381" s="19">
        <v>3.84</v>
      </c>
      <c r="F381" s="20">
        <v>4769.83</v>
      </c>
      <c r="H381" s="23">
        <f t="shared" si="35"/>
        <v>1.1199857212975672E-2</v>
      </c>
      <c r="I381" s="23">
        <f t="shared" si="36"/>
        <v>1.3195435092724583E-2</v>
      </c>
      <c r="J381" s="23">
        <f t="shared" si="37"/>
        <v>1.0459533607681815E-2</v>
      </c>
      <c r="K381" s="23">
        <f>E380/100/Inputs!$B$17-'Valuation and Bond'!$B$44*(E381-E380)/100+0.5*'Valuation and Bond'!$B$45*((E381-E380)/100)^2</f>
        <v>3.379770644771885E-3</v>
      </c>
      <c r="L381" s="23">
        <f t="shared" si="38"/>
        <v>3.1968838795026766E-3</v>
      </c>
      <c r="M381" s="23">
        <f t="shared" si="39"/>
        <v>1.0044521382865379E-2</v>
      </c>
      <c r="N381" s="23">
        <f>SUMPRODUCT(H381:K381,Portfolio!$B$23:$E$23)</f>
        <v>9.5586491395384891E-3</v>
      </c>
      <c r="O381" s="23">
        <f>SUMPRODUCT(H381:K381,Portfolio!$B$24:$E$24)</f>
        <v>8.0852894918598834E-3</v>
      </c>
      <c r="Q381" s="21">
        <f t="shared" si="40"/>
        <v>178.77862250397445</v>
      </c>
      <c r="R381" s="21">
        <f t="shared" si="41"/>
        <v>222.76433775453</v>
      </c>
      <c r="S381" s="22">
        <f>Q381/MAX(Q$6:Q381)-1</f>
        <v>-3.9632617155219707E-2</v>
      </c>
      <c r="T381" s="22">
        <f>R381/MAX(R$6:R381)-1</f>
        <v>0</v>
      </c>
    </row>
    <row r="382" spans="1:20" x14ac:dyDescent="0.2">
      <c r="A382" s="18">
        <v>45296</v>
      </c>
      <c r="B382" s="19">
        <v>456.5</v>
      </c>
      <c r="C382" s="19">
        <v>165.1</v>
      </c>
      <c r="D382" s="19">
        <v>59.67</v>
      </c>
      <c r="E382" s="19">
        <v>3.96</v>
      </c>
      <c r="F382" s="20">
        <v>4697.24</v>
      </c>
      <c r="H382" s="23">
        <f t="shared" si="35"/>
        <v>7.1926573117995218E-3</v>
      </c>
      <c r="I382" s="23">
        <f t="shared" si="36"/>
        <v>-3.1444327114865778E-2</v>
      </c>
      <c r="J382" s="23">
        <f t="shared" si="37"/>
        <v>1.255727133887663E-2</v>
      </c>
      <c r="K382" s="23">
        <f>E381/100/Inputs!$B$17-'Valuation and Bond'!$B$44*(E382-E381)/100+0.5*'Valuation and Bond'!$B$45*((E382-E381)/100)^2</f>
        <v>-4.4966579851184237E-3</v>
      </c>
      <c r="L382" s="23">
        <f t="shared" si="38"/>
        <v>-1.5218571731067998E-2</v>
      </c>
      <c r="M382" s="23">
        <f t="shared" si="39"/>
        <v>-6.0848533742450918E-3</v>
      </c>
      <c r="N382" s="23">
        <f>SUMPRODUCT(H382:K382,Portfolio!$B$23:$E$23)</f>
        <v>-4.0477641123270128E-3</v>
      </c>
      <c r="O382" s="23">
        <f>SUMPRODUCT(H382:K382,Portfolio!$B$24:$E$24)</f>
        <v>-7.8161077408712585E-4</v>
      </c>
      <c r="Q382" s="21">
        <f t="shared" si="40"/>
        <v>177.69078079958825</v>
      </c>
      <c r="R382" s="21">
        <f t="shared" si="41"/>
        <v>219.37418270128882</v>
      </c>
      <c r="S382" s="22">
        <f>Q382/MAX(Q$6:Q382)-1</f>
        <v>-4.5476311865237595E-2</v>
      </c>
      <c r="T382" s="22">
        <f>R382/MAX(R$6:R382)-1</f>
        <v>-1.5218571731068109E-2</v>
      </c>
    </row>
    <row r="383" spans="1:20" x14ac:dyDescent="0.2">
      <c r="A383" s="18">
        <v>45303</v>
      </c>
      <c r="B383" s="19">
        <v>463.18</v>
      </c>
      <c r="C383" s="19">
        <v>164.87</v>
      </c>
      <c r="D383" s="19">
        <v>60.39</v>
      </c>
      <c r="E383" s="19">
        <v>3.93</v>
      </c>
      <c r="F383" s="20">
        <v>4783.83</v>
      </c>
      <c r="H383" s="23">
        <f t="shared" si="35"/>
        <v>1.4633077765607849E-2</v>
      </c>
      <c r="I383" s="23">
        <f t="shared" si="36"/>
        <v>-1.3930950938824127E-3</v>
      </c>
      <c r="J383" s="23">
        <f t="shared" si="37"/>
        <v>1.2066365007541435E-2</v>
      </c>
      <c r="K383" s="23">
        <f>E382/100/Inputs!$B$17-'Valuation and Bond'!$B$44*(E383-E382)/100+0.5*'Valuation and Bond'!$B$45*((E383-E382)/100)^2</f>
        <v>2.075406210342569E-3</v>
      </c>
      <c r="L383" s="23">
        <f t="shared" si="38"/>
        <v>1.8434229462407803E-2</v>
      </c>
      <c r="M383" s="23">
        <f t="shared" si="39"/>
        <v>5.9666408550755924E-3</v>
      </c>
      <c r="N383" s="23">
        <f>SUMPRODUCT(H383:K383,Portfolio!$B$23:$E$23)</f>
        <v>6.84543847240236E-3</v>
      </c>
      <c r="O383" s="23">
        <f>SUMPRODUCT(H383:K383,Portfolio!$B$24:$E$24)</f>
        <v>6.6187982457481323E-3</v>
      </c>
      <c r="Q383" s="21">
        <f t="shared" si="40"/>
        <v>178.75099787187736</v>
      </c>
      <c r="R383" s="21">
        <f t="shared" si="41"/>
        <v>223.41817672333255</v>
      </c>
      <c r="S383" s="22">
        <f>Q383/MAX(Q$6:Q383)-1</f>
        <v>-3.9781011830475332E-2</v>
      </c>
      <c r="T383" s="22">
        <f>R383/MAX(R$6:R383)-1</f>
        <v>0</v>
      </c>
    </row>
    <row r="384" spans="1:20" x14ac:dyDescent="0.2">
      <c r="A384" s="18">
        <v>45310</v>
      </c>
      <c r="B384" s="19">
        <v>457.76</v>
      </c>
      <c r="C384" s="19">
        <v>173.65</v>
      </c>
      <c r="D384" s="19">
        <v>59.83</v>
      </c>
      <c r="E384" s="19">
        <v>4.0199999999999996</v>
      </c>
      <c r="F384" s="20">
        <v>4839.8100000000004</v>
      </c>
      <c r="H384" s="23">
        <f t="shared" si="35"/>
        <v>-1.1701714236366012E-2</v>
      </c>
      <c r="I384" s="23">
        <f t="shared" si="36"/>
        <v>5.3254078971310737E-2</v>
      </c>
      <c r="J384" s="23">
        <f t="shared" si="37"/>
        <v>-9.2730584533863292E-3</v>
      </c>
      <c r="K384" s="23">
        <f>E383/100/Inputs!$B$17-'Valuation and Bond'!$B$44*(E384-E383)/100+0.5*'Valuation and Bond'!$B$45*((E384-E383)/100)^2</f>
        <v>-3.1736231326611871E-3</v>
      </c>
      <c r="L384" s="23">
        <f t="shared" si="38"/>
        <v>1.1701920845849534E-2</v>
      </c>
      <c r="M384" s="23">
        <f t="shared" si="39"/>
        <v>1.2258987069663925E-2</v>
      </c>
      <c r="N384" s="23">
        <f>SUMPRODUCT(H384:K384,Portfolio!$B$23:$E$23)</f>
        <v>7.2764207872243018E-3</v>
      </c>
      <c r="O384" s="23">
        <f>SUMPRODUCT(H384:K384,Portfolio!$B$24:$E$24)</f>
        <v>1.1322549395075378E-3</v>
      </c>
      <c r="Q384" s="21">
        <f t="shared" si="40"/>
        <v>180.94230404347823</v>
      </c>
      <c r="R384" s="21">
        <f t="shared" si="41"/>
        <v>226.03259854287302</v>
      </c>
      <c r="S384" s="22">
        <f>Q384/MAX(Q$6:Q384)-1</f>
        <v>-2.8009699670459298E-2</v>
      </c>
      <c r="T384" s="22">
        <f>R384/MAX(R$6:R384)-1</f>
        <v>0</v>
      </c>
    </row>
    <row r="385" spans="1:20" x14ac:dyDescent="0.2">
      <c r="A385" s="18">
        <v>45317</v>
      </c>
      <c r="B385" s="19">
        <v>429.91</v>
      </c>
      <c r="C385" s="19">
        <v>164.09</v>
      </c>
      <c r="D385" s="19">
        <v>59.37</v>
      </c>
      <c r="E385" s="19">
        <v>4.04</v>
      </c>
      <c r="F385" s="20">
        <v>4890.97</v>
      </c>
      <c r="H385" s="23">
        <f t="shared" si="35"/>
        <v>-6.0839741349178578E-2</v>
      </c>
      <c r="I385" s="23">
        <f t="shared" si="36"/>
        <v>-5.5053268067952743E-2</v>
      </c>
      <c r="J385" s="23">
        <f t="shared" si="37"/>
        <v>-7.6884506100618477E-3</v>
      </c>
      <c r="K385" s="23">
        <f>E384/100/Inputs!$B$17-'Valuation and Bond'!$B$44*(E385-E384)/100+0.5*'Valuation and Bond'!$B$45*((E385-E384)/100)^2</f>
        <v>-1.0170427214603525E-4</v>
      </c>
      <c r="L385" s="23">
        <f t="shared" si="38"/>
        <v>1.0570662897923633E-2</v>
      </c>
      <c r="M385" s="23">
        <f t="shared" si="39"/>
        <v>-2.8844037126515648E-2</v>
      </c>
      <c r="N385" s="23">
        <f>SUMPRODUCT(H385:K385,Portfolio!$B$23:$E$23)</f>
        <v>-3.0920791074834801E-2</v>
      </c>
      <c r="O385" s="23">
        <f>SUMPRODUCT(H385:K385,Portfolio!$B$24:$E$24)</f>
        <v>-1.7776055282592424E-2</v>
      </c>
      <c r="Q385" s="21">
        <f t="shared" si="40"/>
        <v>175.72319750789086</v>
      </c>
      <c r="R385" s="21">
        <f t="shared" si="41"/>
        <v>228.42191294601145</v>
      </c>
      <c r="S385" s="22">
        <f>Q385/MAX(Q$6:Q385)-1</f>
        <v>-5.6045823979777754E-2</v>
      </c>
      <c r="T385" s="22">
        <f>R385/MAX(R$6:R385)-1</f>
        <v>0</v>
      </c>
    </row>
    <row r="386" spans="1:20" x14ac:dyDescent="0.2">
      <c r="A386" s="18">
        <v>45324</v>
      </c>
      <c r="B386" s="19">
        <v>425.97</v>
      </c>
      <c r="C386" s="19">
        <v>159.19999999999999</v>
      </c>
      <c r="D386" s="19">
        <v>60.54</v>
      </c>
      <c r="E386" s="19">
        <v>3.93</v>
      </c>
      <c r="F386" s="20">
        <v>4958.6099999999997</v>
      </c>
      <c r="H386" s="23">
        <f t="shared" si="35"/>
        <v>-9.1647088925589371E-3</v>
      </c>
      <c r="I386" s="23">
        <f t="shared" si="36"/>
        <v>-2.980071911755755E-2</v>
      </c>
      <c r="J386" s="23">
        <f t="shared" si="37"/>
        <v>1.9706922688226491E-2</v>
      </c>
      <c r="K386" s="23">
        <f>E385/100/Inputs!$B$17-'Valuation and Bond'!$B$44*(E386-E385)/100+0.5*'Valuation and Bond'!$B$45*((E386-E385)/100)^2</f>
        <v>5.6043877642271214E-3</v>
      </c>
      <c r="L386" s="23">
        <f t="shared" si="38"/>
        <v>1.3829567549995092E-2</v>
      </c>
      <c r="M386" s="23">
        <f t="shared" si="39"/>
        <v>-3.2765972769361849E-3</v>
      </c>
      <c r="N386" s="23">
        <f>SUMPRODUCT(H386:K386,Portfolio!$B$23:$E$23)</f>
        <v>-3.4135293894157186E-3</v>
      </c>
      <c r="O386" s="23">
        <f>SUMPRODUCT(H386:K386,Portfolio!$B$24:$E$24)</f>
        <v>3.7895436327776946E-3</v>
      </c>
      <c r="Q386" s="21">
        <f t="shared" si="40"/>
        <v>175.14742335744199</v>
      </c>
      <c r="R386" s="21">
        <f t="shared" si="41"/>
        <v>231.58088922099742</v>
      </c>
      <c r="S386" s="22">
        <f>Q386/MAX(Q$6:Q386)-1</f>
        <v>-5.9138781662478102E-2</v>
      </c>
      <c r="T386" s="22">
        <f>R386/MAX(R$6:R386)-1</f>
        <v>0</v>
      </c>
    </row>
    <row r="387" spans="1:20" x14ac:dyDescent="0.2">
      <c r="A387" s="18">
        <v>45331</v>
      </c>
      <c r="B387" s="19">
        <v>426.5</v>
      </c>
      <c r="C387" s="19">
        <v>162.4</v>
      </c>
      <c r="D387" s="19">
        <v>59.56</v>
      </c>
      <c r="E387" s="19">
        <v>4.0999999999999996</v>
      </c>
      <c r="F387" s="20">
        <v>5026.6099999999997</v>
      </c>
      <c r="H387" s="23">
        <f t="shared" si="35"/>
        <v>1.244219076460773E-3</v>
      </c>
      <c r="I387" s="23">
        <f t="shared" si="36"/>
        <v>2.0100502512562901E-2</v>
      </c>
      <c r="J387" s="23">
        <f t="shared" si="37"/>
        <v>-1.6187644532540402E-2</v>
      </c>
      <c r="K387" s="23">
        <f>E386/100/Inputs!$B$17-'Valuation and Bond'!$B$44*(E387-E386)/100+0.5*'Valuation and Bond'!$B$45*((E387-E386)/100)^2</f>
        <v>-6.6510396771406691E-3</v>
      </c>
      <c r="L387" s="23">
        <f t="shared" si="38"/>
        <v>1.3713520522888434E-2</v>
      </c>
      <c r="M387" s="23">
        <f t="shared" si="39"/>
        <v>4.4868916162911585E-6</v>
      </c>
      <c r="N387" s="23">
        <f>SUMPRODUCT(H387:K387,Portfolio!$B$23:$E$23)</f>
        <v>-3.7349065516434918E-4</v>
      </c>
      <c r="O387" s="23">
        <f>SUMPRODUCT(H387:K387,Portfolio!$B$24:$E$24)</f>
        <v>-5.3214847024085805E-3</v>
      </c>
      <c r="Q387" s="21">
        <f t="shared" si="40"/>
        <v>175.14820922494746</v>
      </c>
      <c r="R387" s="21">
        <f t="shared" si="41"/>
        <v>234.75667849803833</v>
      </c>
      <c r="S387" s="22">
        <f>Q387/MAX(Q$6:Q387)-1</f>
        <v>-5.9134560120165491E-2</v>
      </c>
      <c r="T387" s="22">
        <f>R387/MAX(R$6:R387)-1</f>
        <v>0</v>
      </c>
    </row>
    <row r="388" spans="1:20" x14ac:dyDescent="0.2">
      <c r="A388" s="18">
        <v>45338</v>
      </c>
      <c r="B388" s="19">
        <v>424.07</v>
      </c>
      <c r="C388" s="19">
        <v>160.38</v>
      </c>
      <c r="D388" s="19">
        <v>59.39</v>
      </c>
      <c r="E388" s="19">
        <v>4.24</v>
      </c>
      <c r="F388" s="20">
        <v>5005.57</v>
      </c>
      <c r="H388" s="23">
        <f t="shared" si="35"/>
        <v>-5.6975381008206316E-3</v>
      </c>
      <c r="I388" s="23">
        <f t="shared" si="36"/>
        <v>-1.2438423645320218E-2</v>
      </c>
      <c r="J388" s="23">
        <f t="shared" si="37"/>
        <v>-2.8542646071189059E-3</v>
      </c>
      <c r="K388" s="23">
        <f>E387/100/Inputs!$B$17-'Valuation and Bond'!$B$44*(E388-E387)/100+0.5*'Valuation and Bond'!$B$45*((E388-E387)/100)^2</f>
        <v>-5.3160121212383138E-3</v>
      </c>
      <c r="L388" s="23">
        <f t="shared" si="38"/>
        <v>-4.1857235791119551E-3</v>
      </c>
      <c r="M388" s="23">
        <f t="shared" si="39"/>
        <v>-6.8861203304646998E-3</v>
      </c>
      <c r="N388" s="23">
        <f>SUMPRODUCT(H388:K388,Portfolio!$B$23:$E$23)</f>
        <v>-6.5765596186245171E-3</v>
      </c>
      <c r="O388" s="23">
        <f>SUMPRODUCT(H388:K388,Portfolio!$B$24:$E$24)</f>
        <v>-5.474404222762675E-3</v>
      </c>
      <c r="Q388" s="21">
        <f t="shared" si="40"/>
        <v>173.94211758055908</v>
      </c>
      <c r="R388" s="21">
        <f t="shared" si="41"/>
        <v>233.77405193349509</v>
      </c>
      <c r="S388" s="22">
        <f>Q388/MAX(Q$6:Q388)-1</f>
        <v>-6.5613472753953461E-2</v>
      </c>
      <c r="T388" s="22">
        <f>R388/MAX(R$6:R388)-1</f>
        <v>-4.1857235791119551E-3</v>
      </c>
    </row>
    <row r="389" spans="1:20" x14ac:dyDescent="0.2">
      <c r="A389" s="18">
        <v>45345</v>
      </c>
      <c r="B389" s="19">
        <v>431.12</v>
      </c>
      <c r="C389" s="19">
        <v>163.69</v>
      </c>
      <c r="D389" s="19">
        <v>61.2</v>
      </c>
      <c r="E389" s="19">
        <v>4.29</v>
      </c>
      <c r="F389" s="20">
        <v>5088.8</v>
      </c>
      <c r="H389" s="23">
        <f t="shared" si="35"/>
        <v>1.662461386091918E-2</v>
      </c>
      <c r="I389" s="23">
        <f t="shared" si="36"/>
        <v>2.06384836014466E-2</v>
      </c>
      <c r="J389" s="23">
        <f t="shared" si="37"/>
        <v>3.0476511197171208E-2</v>
      </c>
      <c r="K389" s="23">
        <f>E388/100/Inputs!$B$17-'Valuation and Bond'!$B$44*(E389-E388)/100+0.5*'Valuation and Bond'!$B$45*((E389-E388)/100)^2</f>
        <v>-1.3698724167030133E-3</v>
      </c>
      <c r="L389" s="23">
        <f t="shared" si="38"/>
        <v>1.6627476990632495E-2</v>
      </c>
      <c r="M389" s="23">
        <f t="shared" si="39"/>
        <v>1.902530897075385E-2</v>
      </c>
      <c r="N389" s="23">
        <f>SUMPRODUCT(H389:K389,Portfolio!$B$23:$E$23)</f>
        <v>1.6592434060708493E-2</v>
      </c>
      <c r="O389" s="23">
        <f>SUMPRODUCT(H389:K389,Portfolio!$B$24:$E$24)</f>
        <v>1.4649893331304694E-2</v>
      </c>
      <c r="Q389" s="21">
        <f t="shared" si="40"/>
        <v>177.25142011055644</v>
      </c>
      <c r="R389" s="21">
        <f t="shared" si="41"/>
        <v>237.6611246030262</v>
      </c>
      <c r="S389" s="22">
        <f>Q389/MAX(Q$6:Q389)-1</f>
        <v>-4.7836480374987667E-2</v>
      </c>
      <c r="T389" s="22">
        <f>R389/MAX(R$6:R389)-1</f>
        <v>0</v>
      </c>
    </row>
    <row r="390" spans="1:20" x14ac:dyDescent="0.2">
      <c r="A390" s="18">
        <v>45352</v>
      </c>
      <c r="B390" s="19">
        <v>426.46</v>
      </c>
      <c r="C390" s="19">
        <v>171.05</v>
      </c>
      <c r="D390" s="19">
        <v>59.53</v>
      </c>
      <c r="E390" s="19">
        <v>4.26</v>
      </c>
      <c r="F390" s="20">
        <v>5137.08</v>
      </c>
      <c r="H390" s="23">
        <f t="shared" si="35"/>
        <v>-1.0809055483392171E-2</v>
      </c>
      <c r="I390" s="23">
        <f t="shared" si="36"/>
        <v>4.496303989247985E-2</v>
      </c>
      <c r="J390" s="23">
        <f t="shared" si="37"/>
        <v>-2.7287581699346419E-2</v>
      </c>
      <c r="K390" s="23">
        <f>E389/100/Inputs!$B$17-'Valuation and Bond'!$B$44*(E390-E389)/100+0.5*'Valuation and Bond'!$B$45*((E390-E389)/100)^2</f>
        <v>2.1388677488041264E-3</v>
      </c>
      <c r="L390" s="23">
        <f t="shared" si="38"/>
        <v>9.4875019650997316E-3</v>
      </c>
      <c r="M390" s="23">
        <f t="shared" si="39"/>
        <v>4.6238180392002949E-3</v>
      </c>
      <c r="N390" s="23">
        <f>SUMPRODUCT(H390:K390,Portfolio!$B$23:$E$23)</f>
        <v>2.2513176146363462E-3</v>
      </c>
      <c r="O390" s="23">
        <f>SUMPRODUCT(H390:K390,Portfolio!$B$24:$E$24)</f>
        <v>-3.8269375920919006E-3</v>
      </c>
      <c r="Q390" s="21">
        <f t="shared" si="40"/>
        <v>178.07099842433749</v>
      </c>
      <c r="R390" s="21">
        <f t="shared" si="41"/>
        <v>239.91593498972523</v>
      </c>
      <c r="S390" s="22">
        <f>Q390/MAX(Q$6:Q390)-1</f>
        <v>-4.343384951667717E-2</v>
      </c>
      <c r="T390" s="22">
        <f>R390/MAX(R$6:R390)-1</f>
        <v>0</v>
      </c>
    </row>
    <row r="391" spans="1:20" x14ac:dyDescent="0.2">
      <c r="A391" s="18">
        <v>45359</v>
      </c>
      <c r="B391" s="19">
        <v>432.9</v>
      </c>
      <c r="C391" s="19">
        <v>172.3</v>
      </c>
      <c r="D391" s="19">
        <v>59.52</v>
      </c>
      <c r="E391" s="19">
        <v>4.12</v>
      </c>
      <c r="F391" s="20">
        <v>5123.6899999999996</v>
      </c>
      <c r="H391" s="23">
        <f t="shared" ref="H391:H454" si="42">B391/B390-1</f>
        <v>1.5101064578155077E-2</v>
      </c>
      <c r="I391" s="23">
        <f t="shared" ref="I391:I454" si="43">C391/C390-1</f>
        <v>7.307804735457557E-3</v>
      </c>
      <c r="J391" s="23">
        <f t="shared" ref="J391:J454" si="44">D391/D390-1</f>
        <v>-1.6798252981686801E-4</v>
      </c>
      <c r="K391" s="23">
        <f>E390/100/Inputs!$B$17-'Valuation and Bond'!$B$44*(E391-E390)/100+0.5*'Valuation and Bond'!$B$45*((E391-E390)/100)^2</f>
        <v>6.9680254116056403E-3</v>
      </c>
      <c r="L391" s="23">
        <f t="shared" ref="L391:L454" si="45">F391/F390-1</f>
        <v>-2.6065391233931479E-3</v>
      </c>
      <c r="M391" s="23">
        <f t="shared" ref="M391:M454" si="46">SUMPRODUCT(H391:K391,$H$4:$K$4)</f>
        <v>5.7493775978144776E-3</v>
      </c>
      <c r="N391" s="23">
        <f>SUMPRODUCT(H391:K391,Portfolio!$B$23:$E$23)</f>
        <v>7.3022280488503517E-3</v>
      </c>
      <c r="O391" s="23">
        <f>SUMPRODUCT(H391:K391,Portfolio!$B$24:$E$24)</f>
        <v>5.6443950528920536E-3</v>
      </c>
      <c r="Q391" s="21">
        <f t="shared" ref="Q391:Q454" si="47">Q390*(1+M391)</f>
        <v>179.09479583349884</v>
      </c>
      <c r="R391" s="21">
        <f t="shared" ref="R391:R454" si="48">R390*(1+L391)</f>
        <v>239.29058471884906</v>
      </c>
      <c r="S391" s="22">
        <f>Q391/MAX(Q$6:Q391)-1</f>
        <v>-3.7934189520260619E-2</v>
      </c>
      <c r="T391" s="22">
        <f>R391/MAX(R$6:R391)-1</f>
        <v>-2.6065391233931479E-3</v>
      </c>
    </row>
    <row r="392" spans="1:20" x14ac:dyDescent="0.2">
      <c r="A392" s="18">
        <v>45366</v>
      </c>
      <c r="B392" s="19">
        <v>435.82</v>
      </c>
      <c r="C392" s="19">
        <v>172.52</v>
      </c>
      <c r="D392" s="19">
        <v>59.88</v>
      </c>
      <c r="E392" s="19">
        <v>4.21</v>
      </c>
      <c r="F392" s="20">
        <v>5117.09</v>
      </c>
      <c r="H392" s="23">
        <f t="shared" si="42"/>
        <v>6.7452067452067332E-3</v>
      </c>
      <c r="I392" s="23">
        <f t="shared" si="43"/>
        <v>1.276842716192661E-3</v>
      </c>
      <c r="J392" s="23">
        <f t="shared" si="44"/>
        <v>6.0483870967742437E-3</v>
      </c>
      <c r="K392" s="23">
        <f>E391/100/Inputs!$B$17-'Valuation and Bond'!$B$44*(E392-E391)/100+0.5*'Valuation and Bond'!$B$45*((E392-E391)/100)^2</f>
        <v>-3.1370846711227455E-3</v>
      </c>
      <c r="L392" s="23">
        <f t="shared" si="45"/>
        <v>-1.2881341377014577E-3</v>
      </c>
      <c r="M392" s="23">
        <f t="shared" si="46"/>
        <v>2.7290117010202283E-3</v>
      </c>
      <c r="N392" s="23">
        <f>SUMPRODUCT(H392:K392,Portfolio!$B$23:$E$23)</f>
        <v>2.733337971762723E-3</v>
      </c>
      <c r="O392" s="23">
        <f>SUMPRODUCT(H392:K392,Portfolio!$B$24:$E$24)</f>
        <v>1.8322659663093943E-3</v>
      </c>
      <c r="Q392" s="21">
        <f t="shared" si="47"/>
        <v>179.58354762692028</v>
      </c>
      <c r="R392" s="21">
        <f t="shared" si="48"/>
        <v>238.98234634784217</v>
      </c>
      <c r="S392" s="22">
        <f>Q392/MAX(Q$6:Q392)-1</f>
        <v>-3.5308700666309978E-2</v>
      </c>
      <c r="T392" s="22">
        <f>R392/MAX(R$6:R392)-1</f>
        <v>-3.8913156890685308E-3</v>
      </c>
    </row>
    <row r="393" spans="1:20" x14ac:dyDescent="0.2">
      <c r="A393" s="18">
        <v>45373</v>
      </c>
      <c r="B393" s="19">
        <v>445.88</v>
      </c>
      <c r="C393" s="19">
        <v>172.48</v>
      </c>
      <c r="D393" s="19">
        <v>60.49</v>
      </c>
      <c r="E393" s="19">
        <v>4.28</v>
      </c>
      <c r="F393" s="20">
        <v>5234.18</v>
      </c>
      <c r="H393" s="23">
        <f t="shared" si="42"/>
        <v>2.3082924142994843E-2</v>
      </c>
      <c r="I393" s="23">
        <f t="shared" si="43"/>
        <v>-2.3185717597973277E-4</v>
      </c>
      <c r="J393" s="23">
        <f t="shared" si="44"/>
        <v>1.0187040748163012E-2</v>
      </c>
      <c r="K393" s="23">
        <f>E392/100/Inputs!$B$17-'Valuation and Bond'!$B$44*(E393-E392)/100+0.5*'Valuation and Bond'!$B$45*((E393-E392)/100)^2</f>
        <v>-2.2481615680689238E-3</v>
      </c>
      <c r="L393" s="23">
        <f t="shared" si="45"/>
        <v>2.2882145907146434E-2</v>
      </c>
      <c r="M393" s="23">
        <f t="shared" si="46"/>
        <v>5.9704685197647378E-3</v>
      </c>
      <c r="N393" s="23">
        <f>SUMPRODUCT(H393:K393,Portfolio!$B$23:$E$23)</f>
        <v>7.6974865367772996E-3</v>
      </c>
      <c r="O393" s="23">
        <f>SUMPRODUCT(H393:K393,Portfolio!$B$24:$E$24)</f>
        <v>5.4957771061075605E-3</v>
      </c>
      <c r="Q393" s="21">
        <f t="shared" si="47"/>
        <v>180.6557455446945</v>
      </c>
      <c r="R393" s="21">
        <f t="shared" si="48"/>
        <v>244.45077526620568</v>
      </c>
      <c r="S393" s="22">
        <f>Q393/MAX(Q$6:Q393)-1</f>
        <v>-2.9549041632347062E-2</v>
      </c>
      <c r="T393" s="22">
        <f>R393/MAX(R$6:R393)-1</f>
        <v>0</v>
      </c>
    </row>
    <row r="394" spans="1:20" x14ac:dyDescent="0.2">
      <c r="A394" s="18">
        <v>45380</v>
      </c>
      <c r="B394" s="19">
        <v>454.87</v>
      </c>
      <c r="C394" s="19">
        <v>174.21</v>
      </c>
      <c r="D394" s="19">
        <v>61.18</v>
      </c>
      <c r="E394" s="19">
        <v>4.21</v>
      </c>
      <c r="F394" s="20">
        <v>5254.35</v>
      </c>
      <c r="H394" s="23">
        <f t="shared" si="42"/>
        <v>2.0162375527047693E-2</v>
      </c>
      <c r="I394" s="23">
        <f t="shared" si="43"/>
        <v>1.0030148423005647E-2</v>
      </c>
      <c r="J394" s="23">
        <f t="shared" si="44"/>
        <v>1.1406844106463865E-2</v>
      </c>
      <c r="K394" s="23">
        <f>E393/100/Inputs!$B$17-'Valuation and Bond'!$B$44*(E394-E393)/100+0.5*'Valuation and Bond'!$B$45*((E394-E393)/100)^2</f>
        <v>3.8919341214299959E-3</v>
      </c>
      <c r="L394" s="23">
        <f t="shared" si="45"/>
        <v>3.8535166922040176E-3</v>
      </c>
      <c r="M394" s="23">
        <f t="shared" si="46"/>
        <v>1.0609660447143237E-2</v>
      </c>
      <c r="N394" s="23">
        <f>SUMPRODUCT(H394:K394,Portfolio!$B$23:$E$23)</f>
        <v>1.1372825544486801E-2</v>
      </c>
      <c r="O394" s="23">
        <f>SUMPRODUCT(H394:K394,Portfolio!$B$24:$E$24)</f>
        <v>9.3471936040737044E-3</v>
      </c>
      <c r="Q394" s="21">
        <f t="shared" si="47"/>
        <v>182.57244166274921</v>
      </c>
      <c r="R394" s="21">
        <f t="shared" si="48"/>
        <v>245.39277040911622</v>
      </c>
      <c r="S394" s="22">
        <f>Q394/MAX(Q$6:Q394)-1</f>
        <v>-1.9252886483461573E-2</v>
      </c>
      <c r="T394" s="22">
        <f>R394/MAX(R$6:R394)-1</f>
        <v>0</v>
      </c>
    </row>
    <row r="395" spans="1:20" x14ac:dyDescent="0.2">
      <c r="A395" s="18">
        <v>45387</v>
      </c>
      <c r="B395" s="19">
        <v>455.38</v>
      </c>
      <c r="C395" s="19">
        <v>167.5</v>
      </c>
      <c r="D395" s="19">
        <v>59.51</v>
      </c>
      <c r="E395" s="19">
        <v>4.34</v>
      </c>
      <c r="F395" s="20">
        <v>5204.34</v>
      </c>
      <c r="H395" s="23">
        <f t="shared" si="42"/>
        <v>1.1211994635829114E-3</v>
      </c>
      <c r="I395" s="23">
        <f t="shared" si="43"/>
        <v>-3.8516732678950727E-2</v>
      </c>
      <c r="J395" s="23">
        <f t="shared" si="44"/>
        <v>-2.7296502124877442E-2</v>
      </c>
      <c r="K395" s="23">
        <f>E394/100/Inputs!$B$17-'Valuation and Bond'!$B$44*(E395-E394)/100+0.5*'Valuation and Bond'!$B$45*((E395-E394)/100)^2</f>
        <v>-4.8602942707558182E-3</v>
      </c>
      <c r="L395" s="23">
        <f t="shared" si="45"/>
        <v>-9.5178280853007724E-3</v>
      </c>
      <c r="M395" s="23">
        <f t="shared" si="46"/>
        <v>-2.2746591176426308E-2</v>
      </c>
      <c r="N395" s="23">
        <f>SUMPRODUCT(H395:K395,Portfolio!$B$23:$E$23)</f>
        <v>-1.738808240275027E-2</v>
      </c>
      <c r="O395" s="23">
        <f>SUMPRODUCT(H395:K395,Portfolio!$B$24:$E$24)</f>
        <v>-1.6144535773835556E-2</v>
      </c>
      <c r="Q395" s="21">
        <f t="shared" si="47"/>
        <v>178.41954097216473</v>
      </c>
      <c r="R395" s="21">
        <f t="shared" si="48"/>
        <v>243.05716420698658</v>
      </c>
      <c r="S395" s="22">
        <f>Q395/MAX(Q$6:Q395)-1</f>
        <v>-4.1561540122082352E-2</v>
      </c>
      <c r="T395" s="22">
        <f>R395/MAX(R$6:R395)-1</f>
        <v>-9.5178280853007724E-3</v>
      </c>
    </row>
    <row r="396" spans="1:20" x14ac:dyDescent="0.2">
      <c r="A396" s="18">
        <v>45394</v>
      </c>
      <c r="B396" s="19">
        <v>450.4</v>
      </c>
      <c r="C396" s="19">
        <v>166.33</v>
      </c>
      <c r="D396" s="19">
        <v>58.28</v>
      </c>
      <c r="E396" s="19">
        <v>4.51</v>
      </c>
      <c r="F396" s="20">
        <v>5123.41</v>
      </c>
      <c r="H396" s="23">
        <f t="shared" si="42"/>
        <v>-1.0935921647854618E-2</v>
      </c>
      <c r="I396" s="23">
        <f t="shared" si="43"/>
        <v>-6.985074626865595E-3</v>
      </c>
      <c r="J396" s="23">
        <f t="shared" si="44"/>
        <v>-2.0668795160477149E-2</v>
      </c>
      <c r="K396" s="23">
        <f>E395/100/Inputs!$B$17-'Valuation and Bond'!$B$44*(E396-E395)/100+0.5*'Valuation and Bond'!$B$45*((E396-E395)/100)^2</f>
        <v>-6.5721935232945349E-3</v>
      </c>
      <c r="L396" s="23">
        <f t="shared" si="45"/>
        <v>-1.5550482866223292E-2</v>
      </c>
      <c r="M396" s="23">
        <f t="shared" si="46"/>
        <v>-1.2044241316526328E-2</v>
      </c>
      <c r="N396" s="23">
        <f>SUMPRODUCT(H396:K396,Portfolio!$B$23:$E$23)</f>
        <v>-1.1290496239622975E-2</v>
      </c>
      <c r="O396" s="23">
        <f>SUMPRODUCT(H396:K396,Portfolio!$B$24:$E$24)</f>
        <v>-1.1963862511176889E-2</v>
      </c>
      <c r="Q396" s="21">
        <f t="shared" si="47"/>
        <v>176.27061296511212</v>
      </c>
      <c r="R396" s="21">
        <f t="shared" si="48"/>
        <v>239.27750793947303</v>
      </c>
      <c r="S396" s="22">
        <f>Q396/MAX(Q$6:Q396)-1</f>
        <v>-5.3105204219891844E-2</v>
      </c>
      <c r="T396" s="22">
        <f>R396/MAX(R$6:R396)-1</f>
        <v>-2.4920304128959847E-2</v>
      </c>
    </row>
    <row r="397" spans="1:20" x14ac:dyDescent="0.2">
      <c r="A397" s="18">
        <v>45401</v>
      </c>
      <c r="B397" s="19">
        <v>463.87</v>
      </c>
      <c r="C397" s="19">
        <v>159.68</v>
      </c>
      <c r="D397" s="19">
        <v>60.17</v>
      </c>
      <c r="E397" s="19">
        <v>4.66</v>
      </c>
      <c r="F397" s="20">
        <v>4967.2299999999996</v>
      </c>
      <c r="H397" s="23">
        <f t="shared" si="42"/>
        <v>2.9906749555950407E-2</v>
      </c>
      <c r="I397" s="23">
        <f t="shared" si="43"/>
        <v>-3.9980761137497822E-2</v>
      </c>
      <c r="J397" s="23">
        <f t="shared" si="44"/>
        <v>3.2429649965682872E-2</v>
      </c>
      <c r="K397" s="23">
        <f>E396/100/Inputs!$B$17-'Valuation and Bond'!$B$44*(E397-E396)/100+0.5*'Valuation and Bond'!$B$45*((E397-E396)/100)^2</f>
        <v>-5.6715038442581448E-3</v>
      </c>
      <c r="L397" s="23">
        <f t="shared" si="45"/>
        <v>-3.0483603693633787E-2</v>
      </c>
      <c r="M397" s="23">
        <f t="shared" si="46"/>
        <v>5.796992353554885E-4</v>
      </c>
      <c r="N397" s="23">
        <f>SUMPRODUCT(H397:K397,Portfolio!$B$23:$E$23)</f>
        <v>4.1710336349693282E-3</v>
      </c>
      <c r="O397" s="23">
        <f>SUMPRODUCT(H397:K397,Portfolio!$B$24:$E$24)</f>
        <v>7.276848148830826E-3</v>
      </c>
      <c r="Q397" s="21">
        <f t="shared" si="47"/>
        <v>176.37279690466363</v>
      </c>
      <c r="R397" s="21">
        <f t="shared" si="48"/>
        <v>231.98346721464583</v>
      </c>
      <c r="S397" s="22">
        <f>Q397/MAX(Q$6:Q397)-1</f>
        <v>-5.2556290030816077E-2</v>
      </c>
      <c r="T397" s="22">
        <f>R397/MAX(R$6:R397)-1</f>
        <v>-5.4644247147601521E-2</v>
      </c>
    </row>
    <row r="398" spans="1:20" x14ac:dyDescent="0.2">
      <c r="A398" s="18">
        <v>45408</v>
      </c>
      <c r="B398" s="19">
        <v>461.29</v>
      </c>
      <c r="C398" s="19">
        <v>177.48</v>
      </c>
      <c r="D398" s="19">
        <v>61.74</v>
      </c>
      <c r="E398" s="19">
        <v>4.66</v>
      </c>
      <c r="F398" s="20">
        <v>5099.96</v>
      </c>
      <c r="H398" s="23">
        <f t="shared" si="42"/>
        <v>-5.5619031194084068E-3</v>
      </c>
      <c r="I398" s="23">
        <f t="shared" si="43"/>
        <v>0.11147294589178336</v>
      </c>
      <c r="J398" s="23">
        <f t="shared" si="44"/>
        <v>2.6092737244473918E-2</v>
      </c>
      <c r="K398" s="23">
        <f>E397/100/Inputs!$B$17-'Valuation and Bond'!$B$44*(E398-E397)/100+0.5*'Valuation and Bond'!$B$45*((E398-E397)/100)^2</f>
        <v>8.9615384615384622E-4</v>
      </c>
      <c r="L398" s="23">
        <f t="shared" si="45"/>
        <v>2.6721130287907124E-2</v>
      </c>
      <c r="M398" s="23">
        <f t="shared" si="46"/>
        <v>4.5034649570207613E-2</v>
      </c>
      <c r="N398" s="23">
        <f>SUMPRODUCT(H398:K398,Portfolio!$B$23:$E$23)</f>
        <v>3.3224983465750681E-2</v>
      </c>
      <c r="O398" s="23">
        <f>SUMPRODUCT(H398:K398,Portfolio!$B$24:$E$24)</f>
        <v>2.3238160367145228E-2</v>
      </c>
      <c r="Q398" s="21">
        <f t="shared" si="47"/>
        <v>184.31568400698256</v>
      </c>
      <c r="R398" s="21">
        <f t="shared" si="48"/>
        <v>238.18232766672881</v>
      </c>
      <c r="S398" s="22">
        <f>Q398/MAX(Q$6:Q398)-1</f>
        <v>-9.8884945648564093E-3</v>
      </c>
      <c r="T398" s="22">
        <f>R398/MAX(R$6:R398)-1</f>
        <v>-2.9383272907210101E-2</v>
      </c>
    </row>
    <row r="399" spans="1:20" x14ac:dyDescent="0.2">
      <c r="A399" s="18">
        <v>45415</v>
      </c>
      <c r="B399" s="19">
        <v>461.91</v>
      </c>
      <c r="C399" s="19">
        <v>178.91</v>
      </c>
      <c r="D399" s="19">
        <v>62.17</v>
      </c>
      <c r="E399" s="19">
        <v>4.6100000000000003</v>
      </c>
      <c r="F399" s="20">
        <v>5127.79</v>
      </c>
      <c r="H399" s="23">
        <f t="shared" si="42"/>
        <v>1.3440568839557798E-3</v>
      </c>
      <c r="I399" s="23">
        <f t="shared" si="43"/>
        <v>8.0572458868606311E-3</v>
      </c>
      <c r="J399" s="23">
        <f t="shared" si="44"/>
        <v>6.9646906381599649E-3</v>
      </c>
      <c r="K399" s="23">
        <f>E398/100/Inputs!$B$17-'Valuation and Bond'!$B$44*(E399-E398)/100+0.5*'Valuation and Bond'!$B$45*((E399-E398)/100)^2</f>
        <v>3.0870640648071714E-3</v>
      </c>
      <c r="L399" s="23">
        <f t="shared" si="45"/>
        <v>5.4569055443571823E-3</v>
      </c>
      <c r="M399" s="23">
        <f t="shared" si="46"/>
        <v>5.8049745831285715E-3</v>
      </c>
      <c r="N399" s="23">
        <f>SUMPRODUCT(H399:K399,Portfolio!$B$23:$E$23)</f>
        <v>4.8632643684458866E-3</v>
      </c>
      <c r="O399" s="23">
        <f>SUMPRODUCT(H399:K399,Portfolio!$B$24:$E$24)</f>
        <v>4.8337946328298959E-3</v>
      </c>
      <c r="Q399" s="21">
        <f t="shared" si="47"/>
        <v>185.38563186791507</v>
      </c>
      <c r="R399" s="21">
        <f t="shared" si="48"/>
        <v>239.48206613114129</v>
      </c>
      <c r="S399" s="22">
        <f>Q399/MAX(Q$6:Q399)-1</f>
        <v>-4.1409224413422319E-3</v>
      </c>
      <c r="T399" s="22">
        <f>R399/MAX(R$6:R399)-1</f>
        <v>-2.4086709107691617E-2</v>
      </c>
    </row>
    <row r="400" spans="1:20" x14ac:dyDescent="0.2">
      <c r="A400" s="18">
        <v>45422</v>
      </c>
      <c r="B400" s="19">
        <v>468.88</v>
      </c>
      <c r="C400" s="19">
        <v>187.05</v>
      </c>
      <c r="D400" s="19">
        <v>63.26</v>
      </c>
      <c r="E400" s="19">
        <v>4.49</v>
      </c>
      <c r="F400" s="20">
        <v>5222.68</v>
      </c>
      <c r="H400" s="23">
        <f t="shared" si="42"/>
        <v>1.5089519603385781E-2</v>
      </c>
      <c r="I400" s="23">
        <f t="shared" si="43"/>
        <v>4.5497736291990387E-2</v>
      </c>
      <c r="J400" s="23">
        <f t="shared" si="44"/>
        <v>1.7532571980054534E-2</v>
      </c>
      <c r="K400" s="23">
        <f>E399/100/Inputs!$B$17-'Valuation and Bond'!$B$44*(E400-E399)/100+0.5*'Valuation and Bond'!$B$45*((E400-E399)/100)^2</f>
        <v>6.1542203397368335E-3</v>
      </c>
      <c r="L400" s="23">
        <f t="shared" si="45"/>
        <v>1.8505047983634393E-2</v>
      </c>
      <c r="M400" s="23">
        <f t="shared" si="46"/>
        <v>2.4161701435021218E-2</v>
      </c>
      <c r="N400" s="23">
        <f>SUMPRODUCT(H400:K400,Portfolio!$B$23:$E$23)</f>
        <v>2.1068512053791885E-2</v>
      </c>
      <c r="O400" s="23">
        <f>SUMPRODUCT(H400:K400,Portfolio!$B$24:$E$24)</f>
        <v>1.636890962747516E-2</v>
      </c>
      <c r="Q400" s="21">
        <f t="shared" si="47"/>
        <v>189.86486415545039</v>
      </c>
      <c r="R400" s="21">
        <f t="shared" si="48"/>
        <v>243.91369325611797</v>
      </c>
      <c r="S400" s="22">
        <f>Q400/MAX(Q$6:Q400)-1</f>
        <v>0</v>
      </c>
      <c r="T400" s="22">
        <f>R400/MAX(R$6:R400)-1</f>
        <v>-6.0273868318628798E-3</v>
      </c>
    </row>
    <row r="401" spans="1:20" x14ac:dyDescent="0.2">
      <c r="A401" s="18">
        <v>45429</v>
      </c>
      <c r="B401" s="19">
        <v>466.2</v>
      </c>
      <c r="C401" s="19">
        <v>195.02</v>
      </c>
      <c r="D401" s="19">
        <v>63.03</v>
      </c>
      <c r="E401" s="19">
        <v>4.43</v>
      </c>
      <c r="F401" s="20">
        <v>5303.27</v>
      </c>
      <c r="H401" s="23">
        <f t="shared" si="42"/>
        <v>-5.7157481658419718E-3</v>
      </c>
      <c r="I401" s="23">
        <f t="shared" si="43"/>
        <v>4.2608928094092446E-2</v>
      </c>
      <c r="J401" s="23">
        <f t="shared" si="44"/>
        <v>-3.6357888080935652E-3</v>
      </c>
      <c r="K401" s="23">
        <f>E400/100/Inputs!$B$17-'Valuation and Bond'!$B$44*(E401-E400)/100+0.5*'Valuation and Bond'!$B$45*((E401-E400)/100)^2</f>
        <v>3.4932321832334429E-3</v>
      </c>
      <c r="L401" s="23">
        <f t="shared" si="45"/>
        <v>1.5430775004403818E-2</v>
      </c>
      <c r="M401" s="23">
        <f t="shared" si="46"/>
        <v>1.2775177352991557E-2</v>
      </c>
      <c r="N401" s="23">
        <f>SUMPRODUCT(H401:K401,Portfolio!$B$23:$E$23)</f>
        <v>9.1876558258475877E-3</v>
      </c>
      <c r="O401" s="23">
        <f>SUMPRODUCT(H401:K401,Portfolio!$B$24:$E$24)</f>
        <v>5.0705133450728961E-3</v>
      </c>
      <c r="Q401" s="21">
        <f t="shared" si="47"/>
        <v>192.29042146813794</v>
      </c>
      <c r="R401" s="21">
        <f t="shared" si="48"/>
        <v>247.67747057724628</v>
      </c>
      <c r="S401" s="22">
        <f>Q401/MAX(Q$6:Q401)-1</f>
        <v>0</v>
      </c>
      <c r="T401" s="22">
        <f>R401/MAX(R$6:R401)-1</f>
        <v>0</v>
      </c>
    </row>
    <row r="402" spans="1:20" x14ac:dyDescent="0.2">
      <c r="A402" s="18">
        <v>45436</v>
      </c>
      <c r="B402" s="19">
        <v>467.35</v>
      </c>
      <c r="C402" s="19">
        <v>199.18</v>
      </c>
      <c r="D402" s="19">
        <v>62</v>
      </c>
      <c r="E402" s="19">
        <v>4.4800000000000004</v>
      </c>
      <c r="F402" s="20">
        <v>5304.72</v>
      </c>
      <c r="H402" s="23">
        <f t="shared" si="42"/>
        <v>2.466752466752542E-3</v>
      </c>
      <c r="I402" s="23">
        <f t="shared" si="43"/>
        <v>2.1331145523536099E-2</v>
      </c>
      <c r="J402" s="23">
        <f t="shared" si="44"/>
        <v>-1.6341424718388065E-2</v>
      </c>
      <c r="K402" s="23">
        <f>E401/100/Inputs!$B$17-'Valuation and Bond'!$B$44*(E402-E401)/100+0.5*'Valuation and Bond'!$B$45*((E402-E401)/100)^2</f>
        <v>-1.3333339551645901E-3</v>
      </c>
      <c r="L402" s="23">
        <f t="shared" si="45"/>
        <v>2.7341621301579799E-4</v>
      </c>
      <c r="M402" s="23">
        <f t="shared" si="46"/>
        <v>1.5842250911227338E-3</v>
      </c>
      <c r="N402" s="23">
        <f>SUMPRODUCT(H402:K402,Portfolio!$B$23:$E$23)</f>
        <v>1.5307848291839965E-3</v>
      </c>
      <c r="O402" s="23">
        <f>SUMPRODUCT(H402:K402,Portfolio!$B$24:$E$24)</f>
        <v>-2.9259660739032909E-3</v>
      </c>
      <c r="Q402" s="21">
        <f t="shared" si="47"/>
        <v>192.59505277861032</v>
      </c>
      <c r="R402" s="21">
        <f t="shared" si="48"/>
        <v>247.74518961330085</v>
      </c>
      <c r="S402" s="22">
        <f>Q402/MAX(Q$6:Q402)-1</f>
        <v>0</v>
      </c>
      <c r="T402" s="22">
        <f>R402/MAX(R$6:R402)-1</f>
        <v>0</v>
      </c>
    </row>
    <row r="403" spans="1:20" x14ac:dyDescent="0.2">
      <c r="A403" s="18">
        <v>45443</v>
      </c>
      <c r="B403" s="19">
        <v>470.34</v>
      </c>
      <c r="C403" s="19">
        <v>195.01</v>
      </c>
      <c r="D403" s="19">
        <v>62.93</v>
      </c>
      <c r="E403" s="19">
        <v>4.57</v>
      </c>
      <c r="F403" s="20">
        <v>5277.51</v>
      </c>
      <c r="H403" s="23">
        <f t="shared" si="42"/>
        <v>6.3977746870653718E-3</v>
      </c>
      <c r="I403" s="23">
        <f t="shared" si="43"/>
        <v>-2.0935836931418872E-2</v>
      </c>
      <c r="J403" s="23">
        <f t="shared" si="44"/>
        <v>1.4999999999999902E-2</v>
      </c>
      <c r="K403" s="23">
        <f>E402/100/Inputs!$B$17-'Valuation and Bond'!$B$44*(E403-E402)/100+0.5*'Valuation and Bond'!$B$45*((E403-E402)/100)^2</f>
        <v>-3.0678539018919762E-3</v>
      </c>
      <c r="L403" s="23">
        <f t="shared" si="45"/>
        <v>-5.1293941998823422E-3</v>
      </c>
      <c r="M403" s="23">
        <f t="shared" si="46"/>
        <v>-1.6121918217104944E-3</v>
      </c>
      <c r="N403" s="23">
        <f>SUMPRODUCT(H403:K403,Portfolio!$B$23:$E$23)</f>
        <v>-6.5147903656139351E-4</v>
      </c>
      <c r="O403" s="23">
        <f>SUMPRODUCT(H403:K403,Portfolio!$B$24:$E$24)</f>
        <v>1.9061267866860442E-3</v>
      </c>
      <c r="Q403" s="21">
        <f t="shared" si="47"/>
        <v>192.28455260961874</v>
      </c>
      <c r="R403" s="21">
        <f t="shared" si="48"/>
        <v>246.47440687464965</v>
      </c>
      <c r="S403" s="22">
        <f>Q403/MAX(Q$6:Q403)-1</f>
        <v>-1.6121918217104625E-3</v>
      </c>
      <c r="T403" s="22">
        <f>R403/MAX(R$6:R403)-1</f>
        <v>-5.1293941998823422E-3</v>
      </c>
    </row>
    <row r="404" spans="1:20" x14ac:dyDescent="0.2">
      <c r="A404" s="18">
        <v>45450</v>
      </c>
      <c r="B404" s="19">
        <v>470.13</v>
      </c>
      <c r="C404" s="19">
        <v>195.61</v>
      </c>
      <c r="D404" s="19">
        <v>63.91</v>
      </c>
      <c r="E404" s="19">
        <v>4.37</v>
      </c>
      <c r="F404" s="20">
        <v>5346.99</v>
      </c>
      <c r="H404" s="23">
        <f t="shared" si="42"/>
        <v>-4.4648552111237194E-4</v>
      </c>
      <c r="I404" s="23">
        <f t="shared" si="43"/>
        <v>3.0767652940875134E-3</v>
      </c>
      <c r="J404" s="23">
        <f t="shared" si="44"/>
        <v>1.5572858731924377E-2</v>
      </c>
      <c r="K404" s="23">
        <f>E403/100/Inputs!$B$17-'Valuation and Bond'!$B$44*(E404-E403)/100+0.5*'Valuation and Bond'!$B$45*((E404-E403)/100)^2</f>
        <v>9.6764061478536688E-3</v>
      </c>
      <c r="L404" s="23">
        <f t="shared" si="45"/>
        <v>1.3165299544671605E-2</v>
      </c>
      <c r="M404" s="23">
        <f t="shared" si="46"/>
        <v>8.1472942670967018E-3</v>
      </c>
      <c r="N404" s="23">
        <f>SUMPRODUCT(H404:K404,Portfolio!$B$23:$E$23)</f>
        <v>6.9698861631882969E-3</v>
      </c>
      <c r="O404" s="23">
        <f>SUMPRODUCT(H404:K404,Portfolio!$B$24:$E$24)</f>
        <v>9.4949014529100567E-3</v>
      </c>
      <c r="Q404" s="21">
        <f t="shared" si="47"/>
        <v>193.85115144274633</v>
      </c>
      <c r="R404" s="21">
        <f t="shared" si="48"/>
        <v>249.71931627124968</v>
      </c>
      <c r="S404" s="22">
        <f>Q404/MAX(Q$6:Q404)-1</f>
        <v>0</v>
      </c>
      <c r="T404" s="22">
        <f>R404/MAX(R$6:R404)-1</f>
        <v>0</v>
      </c>
    </row>
    <row r="405" spans="1:20" x14ac:dyDescent="0.2">
      <c r="A405" s="18">
        <v>45457</v>
      </c>
      <c r="B405" s="19">
        <v>458.34</v>
      </c>
      <c r="C405" s="19">
        <v>193.9</v>
      </c>
      <c r="D405" s="19">
        <v>62.55</v>
      </c>
      <c r="E405" s="19">
        <v>4.33</v>
      </c>
      <c r="F405" s="20">
        <v>5431.6</v>
      </c>
      <c r="H405" s="23">
        <f t="shared" si="42"/>
        <v>-2.5078169867908895E-2</v>
      </c>
      <c r="I405" s="23">
        <f t="shared" si="43"/>
        <v>-8.7418843617402819E-3</v>
      </c>
      <c r="J405" s="23">
        <f t="shared" si="44"/>
        <v>-2.1279924894382685E-2</v>
      </c>
      <c r="K405" s="23">
        <f>E404/100/Inputs!$B$17-'Valuation and Bond'!$B$44*(E405-E404)/100+0.5*'Valuation and Bond'!$B$45*((E405-E404)/100)^2</f>
        <v>2.5926605353820274E-3</v>
      </c>
      <c r="L405" s="23">
        <f t="shared" si="45"/>
        <v>1.5823856038631234E-2</v>
      </c>
      <c r="M405" s="23">
        <f t="shared" si="46"/>
        <v>-1.2871121891649974E-2</v>
      </c>
      <c r="N405" s="23">
        <f>SUMPRODUCT(H405:K405,Portfolio!$B$23:$E$23)</f>
        <v>-1.3126829647162459E-2</v>
      </c>
      <c r="O405" s="23">
        <f>SUMPRODUCT(H405:K405,Portfolio!$B$24:$E$24)</f>
        <v>-1.0560447933042474E-2</v>
      </c>
      <c r="Q405" s="21">
        <f t="shared" si="47"/>
        <v>191.35606964369003</v>
      </c>
      <c r="R405" s="21">
        <f t="shared" si="48"/>
        <v>253.67083878199136</v>
      </c>
      <c r="S405" s="22">
        <f>Q405/MAX(Q$6:Q405)-1</f>
        <v>-1.2871121891649961E-2</v>
      </c>
      <c r="T405" s="22">
        <f>R405/MAX(R$6:R405)-1</f>
        <v>0</v>
      </c>
    </row>
    <row r="406" spans="1:20" x14ac:dyDescent="0.2">
      <c r="A406" s="18">
        <v>45464</v>
      </c>
      <c r="B406" s="19">
        <v>467.6</v>
      </c>
      <c r="C406" s="19">
        <v>195.53</v>
      </c>
      <c r="D406" s="19">
        <v>62.77</v>
      </c>
      <c r="E406" s="19">
        <v>4.2699999999999996</v>
      </c>
      <c r="F406" s="20">
        <v>5464.62</v>
      </c>
      <c r="H406" s="23">
        <f t="shared" si="42"/>
        <v>2.0203342496836418E-2</v>
      </c>
      <c r="I406" s="23">
        <f t="shared" si="43"/>
        <v>8.4063950489943196E-3</v>
      </c>
      <c r="J406" s="23">
        <f t="shared" si="44"/>
        <v>3.5171862509992824E-3</v>
      </c>
      <c r="K406" s="23">
        <f>E405/100/Inputs!$B$17-'Valuation and Bond'!$B$44*(E406-E405)/100+0.5*'Valuation and Bond'!$B$45*((E406-E405)/100)^2</f>
        <v>3.462462952464212E-3</v>
      </c>
      <c r="L406" s="23">
        <f t="shared" si="45"/>
        <v>6.079240002945685E-3</v>
      </c>
      <c r="M406" s="23">
        <f t="shared" si="46"/>
        <v>7.3305961972040517E-3</v>
      </c>
      <c r="N406" s="23">
        <f>SUMPRODUCT(H406:K406,Portfolio!$B$23:$E$23)</f>
        <v>8.8973466873235579E-3</v>
      </c>
      <c r="O406" s="23">
        <f>SUMPRODUCT(H406:K406,Portfolio!$B$24:$E$24)</f>
        <v>6.2934737165282039E-3</v>
      </c>
      <c r="Q406" s="21">
        <f t="shared" si="47"/>
        <v>192.758823720132</v>
      </c>
      <c r="R406" s="21">
        <f t="shared" si="48"/>
        <v>255.21296469269564</v>
      </c>
      <c r="S406" s="22">
        <f>Q406/MAX(Q$6:Q406)-1</f>
        <v>-5.6348786916385896E-3</v>
      </c>
      <c r="T406" s="22">
        <f>R406/MAX(R$6:R406)-1</f>
        <v>0</v>
      </c>
    </row>
    <row r="407" spans="1:20" x14ac:dyDescent="0.2">
      <c r="A407" s="18">
        <v>45471</v>
      </c>
      <c r="B407" s="19">
        <v>467.1</v>
      </c>
      <c r="C407" s="19">
        <v>194.53</v>
      </c>
      <c r="D407" s="19">
        <v>63.65</v>
      </c>
      <c r="E407" s="19">
        <v>4.29</v>
      </c>
      <c r="F407" s="20">
        <v>5460.48</v>
      </c>
      <c r="H407" s="23">
        <f t="shared" si="42"/>
        <v>-1.0692899914457321E-3</v>
      </c>
      <c r="I407" s="23">
        <f t="shared" si="43"/>
        <v>-5.1143047102746308E-3</v>
      </c>
      <c r="J407" s="23">
        <f t="shared" si="44"/>
        <v>1.4019436036323052E-2</v>
      </c>
      <c r="K407" s="23">
        <f>E406/100/Inputs!$B$17-'Valuation and Bond'!$B$44*(E407-E406)/100+0.5*'Valuation and Bond'!$B$45*((E407-E406)/100)^2</f>
        <v>-5.3627349069112218E-5</v>
      </c>
      <c r="L407" s="23">
        <f t="shared" si="45"/>
        <v>-7.5760071148589514E-4</v>
      </c>
      <c r="M407" s="23">
        <f t="shared" si="46"/>
        <v>2.8914327141880201E-3</v>
      </c>
      <c r="N407" s="23">
        <f>SUMPRODUCT(H407:K407,Portfolio!$B$23:$E$23)</f>
        <v>1.9455534963833943E-3</v>
      </c>
      <c r="O407" s="23">
        <f>SUMPRODUCT(H407:K407,Portfolio!$B$24:$E$24)</f>
        <v>3.9119666223372566E-3</v>
      </c>
      <c r="Q407" s="21">
        <f t="shared" si="47"/>
        <v>193.3161728889848</v>
      </c>
      <c r="R407" s="21">
        <f t="shared" si="48"/>
        <v>255.01961516906402</v>
      </c>
      <c r="S407" s="22">
        <f>Q407/MAX(Q$6:Q407)-1</f>
        <v>-2.7597388500399944E-3</v>
      </c>
      <c r="T407" s="22">
        <f>R407/MAX(R$6:R407)-1</f>
        <v>-7.5760071148589514E-4</v>
      </c>
    </row>
    <row r="408" spans="1:20" x14ac:dyDescent="0.2">
      <c r="A408" s="18">
        <v>45478</v>
      </c>
      <c r="B408" s="19">
        <v>462.16</v>
      </c>
      <c r="C408" s="19">
        <v>198.79</v>
      </c>
      <c r="D408" s="19">
        <v>63.76</v>
      </c>
      <c r="E408" s="19">
        <v>4.3499999999999996</v>
      </c>
      <c r="F408" s="20">
        <v>5567.19</v>
      </c>
      <c r="H408" s="23">
        <f t="shared" si="42"/>
        <v>-1.0575893812888038E-2</v>
      </c>
      <c r="I408" s="23">
        <f t="shared" si="43"/>
        <v>2.1898935896776717E-2</v>
      </c>
      <c r="J408" s="23">
        <f t="shared" si="44"/>
        <v>1.7282010997643482E-3</v>
      </c>
      <c r="K408" s="23">
        <f>E407/100/Inputs!$B$17-'Valuation and Bond'!$B$44*(E408-E407)/100+0.5*'Valuation and Bond'!$B$45*((E408-E407)/100)^2</f>
        <v>-1.7966300561172632E-3</v>
      </c>
      <c r="L408" s="23">
        <f t="shared" si="45"/>
        <v>1.9542238045006988E-2</v>
      </c>
      <c r="M408" s="23">
        <f t="shared" si="46"/>
        <v>6.0492847756756663E-3</v>
      </c>
      <c r="N408" s="23">
        <f>SUMPRODUCT(H408:K408,Portfolio!$B$23:$E$23)</f>
        <v>2.8136532818839408E-3</v>
      </c>
      <c r="O408" s="23">
        <f>SUMPRODUCT(H408:K408,Portfolio!$B$24:$E$24)</f>
        <v>1.4028760902952491E-3</v>
      </c>
      <c r="Q408" s="21">
        <f t="shared" si="47"/>
        <v>194.48559747053403</v>
      </c>
      <c r="R408" s="21">
        <f t="shared" si="48"/>
        <v>260.00326919484394</v>
      </c>
      <c r="S408" s="22">
        <f>Q408/MAX(Q$6:Q408)-1</f>
        <v>0</v>
      </c>
      <c r="T408" s="22">
        <f>R408/MAX(R$6:R408)-1</f>
        <v>0</v>
      </c>
    </row>
    <row r="409" spans="1:20" x14ac:dyDescent="0.2">
      <c r="A409" s="18">
        <v>45485</v>
      </c>
      <c r="B409" s="19">
        <v>463.73</v>
      </c>
      <c r="C409" s="19">
        <v>201.87</v>
      </c>
      <c r="D409" s="19">
        <v>63.7</v>
      </c>
      <c r="E409" s="19">
        <v>4.1900000000000004</v>
      </c>
      <c r="F409" s="20">
        <v>5615.35</v>
      </c>
      <c r="H409" s="23">
        <f t="shared" si="42"/>
        <v>3.3970919162193969E-3</v>
      </c>
      <c r="I409" s="23">
        <f t="shared" si="43"/>
        <v>1.5493737109512518E-2</v>
      </c>
      <c r="J409" s="23">
        <f t="shared" si="44"/>
        <v>-9.4102885821822913E-4</v>
      </c>
      <c r="K409" s="23">
        <f>E408/100/Inputs!$B$17-'Valuation and Bond'!$B$44*(E409-E408)/100+0.5*'Valuation and Bond'!$B$45*((E409-E408)/100)^2</f>
        <v>7.8673503779403426E-3</v>
      </c>
      <c r="L409" s="23">
        <f t="shared" si="45"/>
        <v>8.6506837381157276E-3</v>
      </c>
      <c r="M409" s="23">
        <f t="shared" si="46"/>
        <v>6.8189207609776169E-3</v>
      </c>
      <c r="N409" s="23">
        <f>SUMPRODUCT(H409:K409,Portfolio!$B$23:$E$23)</f>
        <v>6.4542876363635066E-3</v>
      </c>
      <c r="O409" s="23">
        <f>SUMPRODUCT(H409:K409,Portfolio!$B$24:$E$24)</f>
        <v>5.3174696181977604E-3</v>
      </c>
      <c r="Q409" s="21">
        <f t="shared" si="47"/>
        <v>195.81177934883701</v>
      </c>
      <c r="R409" s="21">
        <f t="shared" si="48"/>
        <v>262.25247524752473</v>
      </c>
      <c r="S409" s="22">
        <f>Q409/MAX(Q$6:Q409)-1</f>
        <v>0</v>
      </c>
      <c r="T409" s="22">
        <f>R409/MAX(R$6:R409)-1</f>
        <v>0</v>
      </c>
    </row>
    <row r="410" spans="1:20" x14ac:dyDescent="0.2">
      <c r="A410" s="18">
        <v>45492</v>
      </c>
      <c r="B410" s="19">
        <v>474.92</v>
      </c>
      <c r="C410" s="19">
        <v>199.1</v>
      </c>
      <c r="D410" s="19">
        <v>65.290000000000006</v>
      </c>
      <c r="E410" s="19">
        <v>4.1100000000000003</v>
      </c>
      <c r="F410" s="20">
        <v>5505</v>
      </c>
      <c r="H410" s="23">
        <f t="shared" si="42"/>
        <v>2.4130420718952772E-2</v>
      </c>
      <c r="I410" s="23">
        <f t="shared" si="43"/>
        <v>-1.3721702085500609E-2</v>
      </c>
      <c r="J410" s="23">
        <f t="shared" si="44"/>
        <v>2.4960753532182078E-2</v>
      </c>
      <c r="K410" s="23">
        <f>E409/100/Inputs!$B$17-'Valuation and Bond'!$B$44*(E410-E409)/100+0.5*'Valuation and Bond'!$B$45*((E410-E409)/100)^2</f>
        <v>4.3139391101660995E-3</v>
      </c>
      <c r="L410" s="23">
        <f t="shared" si="45"/>
        <v>-1.965149100234187E-2</v>
      </c>
      <c r="M410" s="23">
        <f t="shared" si="46"/>
        <v>7.9561611961907128E-3</v>
      </c>
      <c r="N410" s="23">
        <f>SUMPRODUCT(H410:K410,Portfolio!$B$23:$E$23)</f>
        <v>9.9208528189500857E-3</v>
      </c>
      <c r="O410" s="23">
        <f>SUMPRODUCT(H410:K410,Portfolio!$B$24:$E$24)</f>
        <v>1.147344073996924E-2</v>
      </c>
      <c r="Q410" s="21">
        <f t="shared" si="47"/>
        <v>197.36968942944927</v>
      </c>
      <c r="R410" s="21">
        <f t="shared" si="48"/>
        <v>257.09882308985613</v>
      </c>
      <c r="S410" s="22">
        <f>Q410/MAX(Q$6:Q410)-1</f>
        <v>0</v>
      </c>
      <c r="T410" s="22">
        <f>R410/MAX(R$6:R410)-1</f>
        <v>-1.965149100234187E-2</v>
      </c>
    </row>
    <row r="411" spans="1:20" x14ac:dyDescent="0.2">
      <c r="A411" s="18">
        <v>45499</v>
      </c>
      <c r="B411" s="19">
        <v>524.79999999999995</v>
      </c>
      <c r="C411" s="19">
        <v>201.99</v>
      </c>
      <c r="D411" s="19">
        <v>67.05</v>
      </c>
      <c r="E411" s="19">
        <v>4.13</v>
      </c>
      <c r="F411" s="20">
        <v>5459.1</v>
      </c>
      <c r="H411" s="23">
        <f t="shared" si="42"/>
        <v>0.10502821527836259</v>
      </c>
      <c r="I411" s="23">
        <f t="shared" si="43"/>
        <v>1.4515318935208521E-2</v>
      </c>
      <c r="J411" s="23">
        <f t="shared" si="44"/>
        <v>2.6956654924184198E-2</v>
      </c>
      <c r="K411" s="23">
        <f>E410/100/Inputs!$B$17-'Valuation and Bond'!$B$44*(E411-E410)/100+0.5*'Valuation and Bond'!$B$45*((E411-E410)/100)^2</f>
        <v>-8.4396579838304036E-5</v>
      </c>
      <c r="L411" s="23">
        <f t="shared" si="45"/>
        <v>-8.3378746594005015E-3</v>
      </c>
      <c r="M411" s="23">
        <f t="shared" si="46"/>
        <v>2.7787285493946365E-2</v>
      </c>
      <c r="N411" s="23">
        <f>SUMPRODUCT(H411:K411,Portfolio!$B$23:$E$23)</f>
        <v>3.6603948139479252E-2</v>
      </c>
      <c r="O411" s="23">
        <f>SUMPRODUCT(H411:K411,Portfolio!$B$24:$E$24)</f>
        <v>2.455642556728841E-2</v>
      </c>
      <c r="Q411" s="21">
        <f t="shared" si="47"/>
        <v>202.85405733747689</v>
      </c>
      <c r="R411" s="21">
        <f t="shared" si="48"/>
        <v>254.95516532785354</v>
      </c>
      <c r="S411" s="22">
        <f>Q411/MAX(Q$6:Q411)-1</f>
        <v>0</v>
      </c>
      <c r="T411" s="22">
        <f>R411/MAX(R$6:R411)-1</f>
        <v>-2.7825513992894457E-2</v>
      </c>
    </row>
    <row r="412" spans="1:20" x14ac:dyDescent="0.2">
      <c r="A412" s="18">
        <v>45506</v>
      </c>
      <c r="B412" s="19">
        <v>548.77</v>
      </c>
      <c r="C412" s="19">
        <v>187.46</v>
      </c>
      <c r="D412" s="19">
        <v>69.33</v>
      </c>
      <c r="E412" s="19">
        <v>3.9</v>
      </c>
      <c r="F412" s="20">
        <v>5346.56</v>
      </c>
      <c r="H412" s="23">
        <f t="shared" si="42"/>
        <v>4.5674542682926811E-2</v>
      </c>
      <c r="I412" s="23">
        <f t="shared" si="43"/>
        <v>-7.1934254170998524E-2</v>
      </c>
      <c r="J412" s="23">
        <f t="shared" si="44"/>
        <v>3.4004474272930629E-2</v>
      </c>
      <c r="K412" s="23">
        <f>E411/100/Inputs!$B$17-'Valuation and Bond'!$B$44*(E412-E411)/100+0.5*'Valuation and Bond'!$B$45*((E412-E411)/100)^2</f>
        <v>1.0919226159800063E-2</v>
      </c>
      <c r="L412" s="23">
        <f t="shared" si="45"/>
        <v>-2.0615119708376817E-2</v>
      </c>
      <c r="M412" s="23">
        <f t="shared" si="46"/>
        <v>-4.026071671867611E-3</v>
      </c>
      <c r="N412" s="23">
        <f>SUMPRODUCT(H412:K412,Portfolio!$B$23:$E$23)</f>
        <v>4.6659972361647447E-3</v>
      </c>
      <c r="O412" s="23">
        <f>SUMPRODUCT(H412:K412,Portfolio!$B$24:$E$24)</f>
        <v>1.2248359199750689E-2</v>
      </c>
      <c r="Q412" s="21">
        <f t="shared" si="47"/>
        <v>202.03735236370707</v>
      </c>
      <c r="R412" s="21">
        <f t="shared" si="48"/>
        <v>249.69923407435084</v>
      </c>
      <c r="S412" s="22">
        <f>Q412/MAX(Q$6:Q412)-1</f>
        <v>-4.026071671867526E-3</v>
      </c>
      <c r="T412" s="22">
        <f>R412/MAX(R$6:R412)-1</f>
        <v>-4.7867007399360562E-2</v>
      </c>
    </row>
    <row r="413" spans="1:20" x14ac:dyDescent="0.2">
      <c r="A413" s="18">
        <v>45513</v>
      </c>
      <c r="B413" s="19">
        <v>551.58000000000004</v>
      </c>
      <c r="C413" s="19">
        <v>192.21</v>
      </c>
      <c r="D413" s="19">
        <v>68.680000000000007</v>
      </c>
      <c r="E413" s="19">
        <v>3.75</v>
      </c>
      <c r="F413" s="20">
        <v>5344.16</v>
      </c>
      <c r="H413" s="23">
        <f t="shared" si="42"/>
        <v>5.1205423036975173E-3</v>
      </c>
      <c r="I413" s="23">
        <f t="shared" si="43"/>
        <v>2.5338738930972049E-2</v>
      </c>
      <c r="J413" s="23">
        <f t="shared" si="44"/>
        <v>-9.3754507428240874E-3</v>
      </c>
      <c r="K413" s="23">
        <f>E412/100/Inputs!$B$17-'Valuation and Bond'!$B$44*(E413-E412)/100+0.5*'Valuation and Bond'!$B$45*((E413-E412)/100)^2</f>
        <v>7.3396902156570819E-3</v>
      </c>
      <c r="L413" s="23">
        <f t="shared" si="45"/>
        <v>-4.4888676083321144E-4</v>
      </c>
      <c r="M413" s="23">
        <f t="shared" si="46"/>
        <v>7.3439791198889838E-3</v>
      </c>
      <c r="N413" s="23">
        <f>SUMPRODUCT(H413:K413,Portfolio!$B$23:$E$23)</f>
        <v>7.1058801768756402E-3</v>
      </c>
      <c r="O413" s="23">
        <f>SUMPRODUCT(H413:K413,Portfolio!$B$24:$E$24)</f>
        <v>3.7752978570756231E-3</v>
      </c>
      <c r="Q413" s="21">
        <f t="shared" si="47"/>
        <v>203.5211104609038</v>
      </c>
      <c r="R413" s="21">
        <f t="shared" si="48"/>
        <v>249.58714739398468</v>
      </c>
      <c r="S413" s="22">
        <f>Q413/MAX(Q$6:Q413)-1</f>
        <v>0</v>
      </c>
      <c r="T413" s="22">
        <f>R413/MAX(R$6:R413)-1</f>
        <v>-4.8294407294291464E-2</v>
      </c>
    </row>
    <row r="414" spans="1:20" x14ac:dyDescent="0.2">
      <c r="A414" s="18">
        <v>45520</v>
      </c>
      <c r="B414" s="19">
        <v>560.13</v>
      </c>
      <c r="C414" s="19">
        <v>200.53</v>
      </c>
      <c r="D414" s="19">
        <v>69.180000000000007</v>
      </c>
      <c r="E414" s="19">
        <v>3.73</v>
      </c>
      <c r="F414" s="20">
        <v>5554.25</v>
      </c>
      <c r="H414" s="23">
        <f t="shared" si="42"/>
        <v>1.5500924616556055E-2</v>
      </c>
      <c r="I414" s="23">
        <f t="shared" si="43"/>
        <v>4.3285989282555448E-2</v>
      </c>
      <c r="J414" s="23">
        <f t="shared" si="44"/>
        <v>7.2801397786836919E-3</v>
      </c>
      <c r="K414" s="23">
        <f>E413/100/Inputs!$B$17-'Valuation and Bond'!$B$44*(E414-E413)/100+0.5*'Valuation and Bond'!$B$45*((E414-E413)/100)^2</f>
        <v>1.5968395512272963E-3</v>
      </c>
      <c r="L414" s="23">
        <f t="shared" si="45"/>
        <v>3.9312071494865375E-2</v>
      </c>
      <c r="M414" s="23">
        <f t="shared" si="46"/>
        <v>1.9114664060488184E-2</v>
      </c>
      <c r="N414" s="23">
        <f>SUMPRODUCT(H414:K414,Portfolio!$B$23:$E$23)</f>
        <v>1.6915973307255625E-2</v>
      </c>
      <c r="O414" s="23">
        <f>SUMPRODUCT(H414:K414,Portfolio!$B$24:$E$24)</f>
        <v>1.0833653327615501E-2</v>
      </c>
      <c r="Q414" s="21">
        <f t="shared" si="47"/>
        <v>207.41134811658148</v>
      </c>
      <c r="R414" s="21">
        <f t="shared" si="48"/>
        <v>259.3989351765365</v>
      </c>
      <c r="S414" s="22">
        <f>Q414/MAX(Q$6:Q414)-1</f>
        <v>0</v>
      </c>
      <c r="T414" s="22">
        <f>R414/MAX(R$6:R414)-1</f>
        <v>-1.0880888991781412E-2</v>
      </c>
    </row>
    <row r="415" spans="1:20" x14ac:dyDescent="0.2">
      <c r="A415" s="18">
        <v>45527</v>
      </c>
      <c r="B415" s="19">
        <v>555.01</v>
      </c>
      <c r="C415" s="19">
        <v>209.88</v>
      </c>
      <c r="D415" s="19">
        <v>69.790000000000006</v>
      </c>
      <c r="E415" s="19">
        <v>3.69</v>
      </c>
      <c r="F415" s="20">
        <v>5634.61</v>
      </c>
      <c r="H415" s="23">
        <f t="shared" si="42"/>
        <v>-9.1407351864746245E-3</v>
      </c>
      <c r="I415" s="23">
        <f t="shared" si="43"/>
        <v>4.662643993417448E-2</v>
      </c>
      <c r="J415" s="23">
        <f t="shared" si="44"/>
        <v>8.8175773344896236E-3</v>
      </c>
      <c r="K415" s="23">
        <f>E414/100/Inputs!$B$17-'Valuation and Bond'!$B$44*(E415-E414)/100+0.5*'Valuation and Bond'!$B$45*((E415-E414)/100)^2</f>
        <v>2.4695836123051042E-3</v>
      </c>
      <c r="L415" s="23">
        <f t="shared" si="45"/>
        <v>1.4468200027006217E-2</v>
      </c>
      <c r="M415" s="23">
        <f t="shared" si="46"/>
        <v>1.7645426838920963E-2</v>
      </c>
      <c r="N415" s="23">
        <f>SUMPRODUCT(H415:K415,Portfolio!$B$23:$E$23)</f>
        <v>1.2193216423623646E-2</v>
      </c>
      <c r="O415" s="23">
        <f>SUMPRODUCT(H415:K415,Portfolio!$B$24:$E$24)</f>
        <v>8.9694467698618E-3</v>
      </c>
      <c r="Q415" s="21">
        <f t="shared" si="47"/>
        <v>211.07120988533458</v>
      </c>
      <c r="R415" s="21">
        <f t="shared" si="48"/>
        <v>263.15197085746303</v>
      </c>
      <c r="S415" s="22">
        <f>Q415/MAX(Q$6:Q415)-1</f>
        <v>0</v>
      </c>
      <c r="T415" s="22">
        <f>R415/MAX(R$6:R415)-1</f>
        <v>0</v>
      </c>
    </row>
    <row r="416" spans="1:20" x14ac:dyDescent="0.2">
      <c r="A416" s="18">
        <v>45534</v>
      </c>
      <c r="B416" s="19">
        <v>568.1</v>
      </c>
      <c r="C416" s="19">
        <v>214.34</v>
      </c>
      <c r="D416" s="19">
        <v>72.47</v>
      </c>
      <c r="E416" s="19">
        <v>3.66</v>
      </c>
      <c r="F416" s="20">
        <v>5648.4</v>
      </c>
      <c r="H416" s="23">
        <f t="shared" si="42"/>
        <v>2.3585160627736412E-2</v>
      </c>
      <c r="I416" s="23">
        <f t="shared" si="43"/>
        <v>2.12502382313704E-2</v>
      </c>
      <c r="J416" s="23">
        <f t="shared" si="44"/>
        <v>3.8400917036824689E-2</v>
      </c>
      <c r="K416" s="23">
        <f>E415/100/Inputs!$B$17-'Valuation and Bond'!$B$44*(E416-E415)/100+0.5*'Valuation and Bond'!$B$45*((E416-E415)/100)^2</f>
        <v>2.023483133419492E-3</v>
      </c>
      <c r="L416" s="23">
        <f t="shared" si="45"/>
        <v>2.4473743524395797E-3</v>
      </c>
      <c r="M416" s="23">
        <f t="shared" si="46"/>
        <v>2.3502618526139541E-2</v>
      </c>
      <c r="N416" s="23">
        <f>SUMPRODUCT(H416:K416,Portfolio!$B$23:$E$23)</f>
        <v>2.1314949757337748E-2</v>
      </c>
      <c r="O416" s="23">
        <f>SUMPRODUCT(H416:K416,Portfolio!$B$24:$E$24)</f>
        <v>1.9669442600488984E-2</v>
      </c>
      <c r="Q416" s="21">
        <f t="shared" si="47"/>
        <v>216.03193601312034</v>
      </c>
      <c r="R416" s="21">
        <f t="shared" si="48"/>
        <v>263.7960022417335</v>
      </c>
      <c r="S416" s="22">
        <f>Q416/MAX(Q$6:Q416)-1</f>
        <v>0</v>
      </c>
      <c r="T416" s="22">
        <f>R416/MAX(R$6:R416)-1</f>
        <v>0</v>
      </c>
    </row>
    <row r="417" spans="1:20" x14ac:dyDescent="0.2">
      <c r="A417" s="18">
        <v>45541</v>
      </c>
      <c r="B417" s="19">
        <v>566.63</v>
      </c>
      <c r="C417" s="19">
        <v>197.45</v>
      </c>
      <c r="D417" s="19">
        <v>71.14</v>
      </c>
      <c r="E417" s="19">
        <v>3.56</v>
      </c>
      <c r="F417" s="20">
        <v>5408.42</v>
      </c>
      <c r="H417" s="23">
        <f t="shared" si="42"/>
        <v>-2.587572610455946E-3</v>
      </c>
      <c r="I417" s="23">
        <f t="shared" si="43"/>
        <v>-7.8800037323877969E-2</v>
      </c>
      <c r="J417" s="23">
        <f t="shared" si="44"/>
        <v>-1.8352421691734455E-2</v>
      </c>
      <c r="K417" s="23">
        <f>E416/100/Inputs!$B$17-'Valuation and Bond'!$B$44*(E417-E416)/100+0.5*'Valuation and Bond'!$B$45*((E417-E416)/100)^2</f>
        <v>5.0913197777185185E-3</v>
      </c>
      <c r="L417" s="23">
        <f t="shared" si="45"/>
        <v>-4.2486367820975812E-2</v>
      </c>
      <c r="M417" s="23">
        <f t="shared" si="46"/>
        <v>-3.152254405318182E-2</v>
      </c>
      <c r="N417" s="23">
        <f>SUMPRODUCT(H417:K417,Portfolio!$B$23:$E$23)</f>
        <v>-2.3662177962087465E-2</v>
      </c>
      <c r="O417" s="23">
        <f>SUMPRODUCT(H417:K417,Portfolio!$B$24:$E$24)</f>
        <v>-1.4946100367072269E-2</v>
      </c>
      <c r="Q417" s="21">
        <f t="shared" si="47"/>
        <v>209.22205979325261</v>
      </c>
      <c r="R417" s="21">
        <f t="shared" si="48"/>
        <v>252.58826826078825</v>
      </c>
      <c r="S417" s="22">
        <f>Q417/MAX(Q$6:Q417)-1</f>
        <v>-3.1522544053181778E-2</v>
      </c>
      <c r="T417" s="22">
        <f>R417/MAX(R$6:R417)-1</f>
        <v>-4.2486367820975812E-2</v>
      </c>
    </row>
    <row r="418" spans="1:20" x14ac:dyDescent="0.2">
      <c r="A418" s="18">
        <v>45548</v>
      </c>
      <c r="B418" s="19">
        <v>569.91</v>
      </c>
      <c r="C418" s="19">
        <v>199.93</v>
      </c>
      <c r="D418" s="19">
        <v>71.41</v>
      </c>
      <c r="E418" s="19">
        <v>3.45</v>
      </c>
      <c r="F418" s="20">
        <v>5626.02</v>
      </c>
      <c r="H418" s="23">
        <f t="shared" si="42"/>
        <v>5.7886098512256456E-3</v>
      </c>
      <c r="I418" s="23">
        <f t="shared" si="43"/>
        <v>1.256014180805276E-2</v>
      </c>
      <c r="J418" s="23">
        <f t="shared" si="44"/>
        <v>3.7953331459095185E-3</v>
      </c>
      <c r="K418" s="23">
        <f>E417/100/Inputs!$B$17-'Valuation and Bond'!$B$44*(E418-E417)/100+0.5*'Valuation and Bond'!$B$45*((E418-E417)/100)^2</f>
        <v>5.5120800719194295E-3</v>
      </c>
      <c r="L418" s="23">
        <f t="shared" si="45"/>
        <v>4.0233561742616164E-2</v>
      </c>
      <c r="M418" s="23">
        <f t="shared" si="46"/>
        <v>7.295178553073157E-3</v>
      </c>
      <c r="N418" s="23">
        <f>SUMPRODUCT(H418:K418,Portfolio!$B$23:$E$23)</f>
        <v>6.914041219276839E-3</v>
      </c>
      <c r="O418" s="23">
        <f>SUMPRODUCT(H418:K418,Portfolio!$B$24:$E$24)</f>
        <v>5.8994259504964973E-3</v>
      </c>
      <c r="Q418" s="21">
        <f t="shared" si="47"/>
        <v>210.74837207668617</v>
      </c>
      <c r="R418" s="21">
        <f t="shared" si="48"/>
        <v>262.75079394731915</v>
      </c>
      <c r="S418" s="22">
        <f>Q418/MAX(Q$6:Q418)-1</f>
        <v>-2.4457328087423513E-2</v>
      </c>
      <c r="T418" s="22">
        <f>R418/MAX(R$6:R418)-1</f>
        <v>-3.9621839813044346E-3</v>
      </c>
    </row>
    <row r="419" spans="1:20" x14ac:dyDescent="0.2">
      <c r="A419" s="18">
        <v>45555</v>
      </c>
      <c r="B419" s="19">
        <v>571.91999999999996</v>
      </c>
      <c r="C419" s="19">
        <v>203.3</v>
      </c>
      <c r="D419" s="19">
        <v>71.64</v>
      </c>
      <c r="E419" s="19">
        <v>3.46</v>
      </c>
      <c r="F419" s="20">
        <v>5702.55</v>
      </c>
      <c r="H419" s="23">
        <f t="shared" si="42"/>
        <v>3.5268726641048964E-3</v>
      </c>
      <c r="I419" s="23">
        <f t="shared" si="43"/>
        <v>1.6855899564847787E-2</v>
      </c>
      <c r="J419" s="23">
        <f t="shared" si="44"/>
        <v>3.2208374177287169E-3</v>
      </c>
      <c r="K419" s="23">
        <f>E418/100/Inputs!$B$17-'Valuation and Bond'!$B$44*(E419-E418)/100+0.5*'Valuation and Bond'!$B$45*((E419-E418)/100)^2</f>
        <v>2.259578771187649E-4</v>
      </c>
      <c r="L419" s="23">
        <f t="shared" si="45"/>
        <v>1.3602866680175296E-2</v>
      </c>
      <c r="M419" s="23">
        <f t="shared" si="46"/>
        <v>7.1619816883008638E-3</v>
      </c>
      <c r="N419" s="23">
        <f>SUMPRODUCT(H419:K419,Portfolio!$B$23:$E$23)</f>
        <v>5.9573918809500415E-3</v>
      </c>
      <c r="O419" s="23">
        <f>SUMPRODUCT(H419:K419,Portfolio!$B$24:$E$24)</f>
        <v>3.8676157730211901E-3</v>
      </c>
      <c r="Q419" s="21">
        <f t="shared" si="47"/>
        <v>212.25774805833859</v>
      </c>
      <c r="R419" s="21">
        <f t="shared" si="48"/>
        <v>266.32495796749475</v>
      </c>
      <c r="S419" s="22">
        <f>Q419/MAX(Q$6:Q419)-1</f>
        <v>-1.7470509335029694E-2</v>
      </c>
      <c r="T419" s="22">
        <f>R419/MAX(R$6:R419)-1</f>
        <v>0</v>
      </c>
    </row>
    <row r="420" spans="1:20" x14ac:dyDescent="0.2">
      <c r="A420" s="18">
        <v>45562</v>
      </c>
      <c r="B420" s="19">
        <v>582.36</v>
      </c>
      <c r="C420" s="19">
        <v>209.14</v>
      </c>
      <c r="D420" s="19">
        <v>71.790000000000006</v>
      </c>
      <c r="E420" s="19">
        <v>3.51</v>
      </c>
      <c r="F420" s="20">
        <v>5738.17</v>
      </c>
      <c r="H420" s="23">
        <f t="shared" si="42"/>
        <v>1.8254301300881348E-2</v>
      </c>
      <c r="I420" s="23">
        <f t="shared" si="43"/>
        <v>2.8726020659124218E-2</v>
      </c>
      <c r="J420" s="23">
        <f t="shared" si="44"/>
        <v>2.0938023450587373E-3</v>
      </c>
      <c r="K420" s="23">
        <f>E419/100/Inputs!$B$17-'Valuation and Bond'!$B$44*(E420-E419)/100+0.5*'Valuation and Bond'!$B$45*((E420-E419)/100)^2</f>
        <v>-1.5198724167030133E-3</v>
      </c>
      <c r="L420" s="23">
        <f t="shared" si="45"/>
        <v>6.2463283969451666E-3</v>
      </c>
      <c r="M420" s="23">
        <f t="shared" si="46"/>
        <v>1.2300965547994494E-2</v>
      </c>
      <c r="N420" s="23">
        <f>SUMPRODUCT(H420:K420,Portfolio!$B$23:$E$23)</f>
        <v>1.1888562972090323E-2</v>
      </c>
      <c r="O420" s="23">
        <f>SUMPRODUCT(H420:K420,Portfolio!$B$24:$E$24)</f>
        <v>6.2575264605418401E-3</v>
      </c>
      <c r="Q420" s="21">
        <f t="shared" si="47"/>
        <v>214.8687233044991</v>
      </c>
      <c r="R420" s="21">
        <f t="shared" si="48"/>
        <v>267.98851111526233</v>
      </c>
      <c r="S420" s="22">
        <f>Q420/MAX(Q$6:Q420)-1</f>
        <v>-5.3844479204713247E-3</v>
      </c>
      <c r="T420" s="22">
        <f>R420/MAX(R$6:R420)-1</f>
        <v>0</v>
      </c>
    </row>
    <row r="421" spans="1:20" x14ac:dyDescent="0.2">
      <c r="A421" s="18">
        <v>45569</v>
      </c>
      <c r="B421" s="19">
        <v>605.13</v>
      </c>
      <c r="C421" s="19">
        <v>202.71</v>
      </c>
      <c r="D421" s="19">
        <v>70.17</v>
      </c>
      <c r="E421" s="19">
        <v>3.61</v>
      </c>
      <c r="F421" s="20">
        <v>5751.07</v>
      </c>
      <c r="H421" s="23">
        <f t="shared" si="42"/>
        <v>3.9099526066350698E-2</v>
      </c>
      <c r="I421" s="23">
        <f t="shared" si="43"/>
        <v>-3.0744955532179263E-2</v>
      </c>
      <c r="J421" s="23">
        <f t="shared" si="44"/>
        <v>-2.2565816966151342E-2</v>
      </c>
      <c r="K421" s="23">
        <f>E420/100/Inputs!$B$17-'Valuation and Bond'!$B$44*(E421-E420)/100+0.5*'Valuation and Bond'!$B$45*((E421-E420)/100)^2</f>
        <v>-3.6898608776095797E-3</v>
      </c>
      <c r="L421" s="23">
        <f t="shared" si="45"/>
        <v>2.2481034894399343E-3</v>
      </c>
      <c r="M421" s="23">
        <f t="shared" si="46"/>
        <v>-1.3319083523425684E-2</v>
      </c>
      <c r="N421" s="23">
        <f>SUMPRODUCT(H421:K421,Portfolio!$B$23:$E$23)</f>
        <v>-4.4752768273973714E-3</v>
      </c>
      <c r="O421" s="23">
        <f>SUMPRODUCT(H421:K421,Portfolio!$B$24:$E$24)</f>
        <v>-8.1496897599872206E-3</v>
      </c>
      <c r="Q421" s="21">
        <f t="shared" si="47"/>
        <v>212.00686883223463</v>
      </c>
      <c r="R421" s="21">
        <f t="shared" si="48"/>
        <v>268.59097702223033</v>
      </c>
      <c r="S421" s="22">
        <f>Q421/MAX(Q$6:Q421)-1</f>
        <v>-1.8631815532316742E-2</v>
      </c>
      <c r="T421" s="22">
        <f>R421/MAX(R$6:R421)-1</f>
        <v>0</v>
      </c>
    </row>
    <row r="422" spans="1:20" x14ac:dyDescent="0.2">
      <c r="A422" s="18">
        <v>45576</v>
      </c>
      <c r="B422" s="19">
        <v>604.16999999999996</v>
      </c>
      <c r="C422" s="19">
        <v>205.11</v>
      </c>
      <c r="D422" s="19">
        <v>69.569999999999993</v>
      </c>
      <c r="E422" s="19">
        <v>3.88</v>
      </c>
      <c r="F422" s="20">
        <v>5815.03</v>
      </c>
      <c r="H422" s="23">
        <f t="shared" si="42"/>
        <v>-1.5864359724356847E-3</v>
      </c>
      <c r="I422" s="23">
        <f t="shared" si="43"/>
        <v>1.1839573775344059E-2</v>
      </c>
      <c r="J422" s="23">
        <f t="shared" si="44"/>
        <v>-8.5506626763575122E-3</v>
      </c>
      <c r="K422" s="23">
        <f>E421/100/Inputs!$B$17-'Valuation and Bond'!$B$44*(E422-E421)/100+0.5*'Valuation and Bond'!$B$45*((E422-E421)/100)^2</f>
        <v>-1.1038997347641997E-2</v>
      </c>
      <c r="L422" s="23">
        <f t="shared" si="45"/>
        <v>1.1121408711770142E-2</v>
      </c>
      <c r="M422" s="23">
        <f t="shared" si="46"/>
        <v>-1.3967915432832492E-3</v>
      </c>
      <c r="N422" s="23">
        <f>SUMPRODUCT(H422:K422,Portfolio!$B$23:$E$23)</f>
        <v>-2.3341305552727837E-3</v>
      </c>
      <c r="O422" s="23">
        <f>SUMPRODUCT(H422:K422,Portfolio!$B$24:$E$24)</f>
        <v>-5.9486404165304948E-3</v>
      </c>
      <c r="Q422" s="21">
        <f t="shared" si="47"/>
        <v>211.71073943073182</v>
      </c>
      <c r="R422" s="21">
        <f t="shared" si="48"/>
        <v>271.57808705398821</v>
      </c>
      <c r="S422" s="22">
        <f>Q422/MAX(Q$6:Q422)-1</f>
        <v>-2.0002582313228379E-2</v>
      </c>
      <c r="T422" s="22">
        <f>R422/MAX(R$6:R422)-1</f>
        <v>0</v>
      </c>
    </row>
    <row r="423" spans="1:20" x14ac:dyDescent="0.2">
      <c r="A423" s="18">
        <v>45583</v>
      </c>
      <c r="B423" s="19">
        <v>611.80999999999995</v>
      </c>
      <c r="C423" s="19">
        <v>198.47</v>
      </c>
      <c r="D423" s="19">
        <v>70.44</v>
      </c>
      <c r="E423" s="19">
        <v>3.87</v>
      </c>
      <c r="F423" s="20">
        <v>5864.67</v>
      </c>
      <c r="H423" s="23">
        <f t="shared" si="42"/>
        <v>1.2645447473393245E-2</v>
      </c>
      <c r="I423" s="23">
        <f t="shared" si="43"/>
        <v>-3.2372873092487042E-2</v>
      </c>
      <c r="J423" s="23">
        <f t="shared" si="44"/>
        <v>1.2505390254420101E-2</v>
      </c>
      <c r="K423" s="23">
        <f>E422/100/Inputs!$B$17-'Valuation and Bond'!$B$44*(E423-E422)/100+0.5*'Valuation and Bond'!$B$45*((E423-E422)/100)^2</f>
        <v>1.1838836349592477E-3</v>
      </c>
      <c r="L423" s="23">
        <f t="shared" si="45"/>
        <v>8.5364993817744761E-3</v>
      </c>
      <c r="M423" s="23">
        <f t="shared" si="46"/>
        <v>-4.5501803924374844E-3</v>
      </c>
      <c r="N423" s="23">
        <f>SUMPRODUCT(H423:K423,Portfolio!$B$23:$E$23)</f>
        <v>-1.509537932428612E-3</v>
      </c>
      <c r="O423" s="23">
        <f>SUMPRODUCT(H423:K423,Portfolio!$B$24:$E$24)</f>
        <v>2.0529589150308923E-3</v>
      </c>
      <c r="Q423" s="21">
        <f t="shared" si="47"/>
        <v>210.74741737530567</v>
      </c>
      <c r="R423" s="21">
        <f t="shared" si="48"/>
        <v>273.89641322622811</v>
      </c>
      <c r="S423" s="22">
        <f>Q423/MAX(Q$6:Q423)-1</f>
        <v>-2.4461747347826024E-2</v>
      </c>
      <c r="T423" s="22">
        <f>R423/MAX(R$6:R423)-1</f>
        <v>0</v>
      </c>
    </row>
    <row r="424" spans="1:20" x14ac:dyDescent="0.2">
      <c r="A424" s="18">
        <v>45590</v>
      </c>
      <c r="B424" s="19">
        <v>562.29</v>
      </c>
      <c r="C424" s="19">
        <v>206.93</v>
      </c>
      <c r="D424" s="19">
        <v>66.92</v>
      </c>
      <c r="E424" s="19">
        <v>4.03</v>
      </c>
      <c r="F424" s="20">
        <v>5808.12</v>
      </c>
      <c r="H424" s="23">
        <f t="shared" si="42"/>
        <v>-8.0940161161144775E-2</v>
      </c>
      <c r="I424" s="23">
        <f t="shared" si="43"/>
        <v>4.2626089585327875E-2</v>
      </c>
      <c r="J424" s="23">
        <f t="shared" si="44"/>
        <v>-4.9971607041453647E-2</v>
      </c>
      <c r="K424" s="23">
        <f>E423/100/Inputs!$B$17-'Valuation and Bond'!$B$44*(E424-E423)/100+0.5*'Valuation and Bond'!$B$45*((E424-E423)/100)^2</f>
        <v>-6.2286925167384221E-3</v>
      </c>
      <c r="L424" s="23">
        <f t="shared" si="45"/>
        <v>-9.6424862780003506E-3</v>
      </c>
      <c r="M424" s="23">
        <f t="shared" si="46"/>
        <v>-1.4769117670531774E-2</v>
      </c>
      <c r="N424" s="23">
        <f>SUMPRODUCT(H424:K424,Portfolio!$B$23:$E$23)</f>
        <v>-2.3628592783502243E-2</v>
      </c>
      <c r="O424" s="23">
        <f>SUMPRODUCT(H424:K424,Portfolio!$B$24:$E$24)</f>
        <v>-2.4206352824209867E-2</v>
      </c>
      <c r="Q424" s="21">
        <f t="shared" si="47"/>
        <v>207.6348639693291</v>
      </c>
      <c r="R424" s="21">
        <f t="shared" si="48"/>
        <v>271.25537082010067</v>
      </c>
      <c r="S424" s="22">
        <f>Q424/MAX(Q$6:Q424)-1</f>
        <v>-3.8869586593350935E-2</v>
      </c>
      <c r="T424" s="22">
        <f>R424/MAX(R$6:R424)-1</f>
        <v>-9.6424862780004617E-3</v>
      </c>
    </row>
    <row r="425" spans="1:20" x14ac:dyDescent="0.2">
      <c r="A425" s="18">
        <v>45597</v>
      </c>
      <c r="B425" s="19">
        <v>545.35</v>
      </c>
      <c r="C425" s="19">
        <v>204.92</v>
      </c>
      <c r="D425" s="19">
        <v>65.010000000000005</v>
      </c>
      <c r="E425" s="19">
        <v>4.1500000000000004</v>
      </c>
      <c r="F425" s="20">
        <v>5728.8</v>
      </c>
      <c r="H425" s="23">
        <f t="shared" si="42"/>
        <v>-3.0126802895303006E-2</v>
      </c>
      <c r="I425" s="23">
        <f t="shared" si="43"/>
        <v>-9.7134296622046756E-3</v>
      </c>
      <c r="J425" s="23">
        <f t="shared" si="44"/>
        <v>-2.8541542139868481E-2</v>
      </c>
      <c r="K425" s="23">
        <f>E424/100/Inputs!$B$17-'Valuation and Bond'!$B$44*(E425-E424)/100+0.5*'Valuation and Bond'!$B$45*((E425-E424)/100)^2</f>
        <v>-4.4601195235799617E-3</v>
      </c>
      <c r="L425" s="23">
        <f t="shared" si="45"/>
        <v>-1.3656742629284513E-2</v>
      </c>
      <c r="M425" s="23">
        <f t="shared" si="46"/>
        <v>-1.7722027549076796E-2</v>
      </c>
      <c r="N425" s="23">
        <f>SUMPRODUCT(H425:K425,Portfolio!$B$23:$E$23)</f>
        <v>-1.821047355523903E-2</v>
      </c>
      <c r="O425" s="23">
        <f>SUMPRODUCT(H425:K425,Portfolio!$B$24:$E$24)</f>
        <v>-1.6620471112685893E-2</v>
      </c>
      <c r="Q425" s="21">
        <f t="shared" si="47"/>
        <v>203.95515318991585</v>
      </c>
      <c r="R425" s="21">
        <f t="shared" si="48"/>
        <v>267.55090603399941</v>
      </c>
      <c r="S425" s="22">
        <f>Q425/MAX(Q$6:Q425)-1</f>
        <v>-5.590276625799917E-2</v>
      </c>
      <c r="T425" s="22">
        <f>R425/MAX(R$6:R425)-1</f>
        <v>-2.3167543953879877E-2</v>
      </c>
    </row>
    <row r="426" spans="1:20" x14ac:dyDescent="0.2">
      <c r="A426" s="18">
        <v>45604</v>
      </c>
      <c r="B426" s="19">
        <v>564.55999999999995</v>
      </c>
      <c r="C426" s="19">
        <v>220.29</v>
      </c>
      <c r="D426" s="19">
        <v>63.92</v>
      </c>
      <c r="E426" s="19">
        <v>4.1900000000000004</v>
      </c>
      <c r="F426" s="20">
        <v>5995.54</v>
      </c>
      <c r="H426" s="23">
        <f t="shared" si="42"/>
        <v>3.5225084807921414E-2</v>
      </c>
      <c r="I426" s="23">
        <f t="shared" si="43"/>
        <v>7.5004879953152415E-2</v>
      </c>
      <c r="J426" s="23">
        <f t="shared" si="44"/>
        <v>-1.6766651284417788E-2</v>
      </c>
      <c r="K426" s="23">
        <f>E425/100/Inputs!$B$17-'Valuation and Bond'!$B$44*(E426-E425)/100+0.5*'Valuation and Bond'!$B$45*((E426-E425)/100)^2</f>
        <v>-9.5058095751844314E-4</v>
      </c>
      <c r="L426" s="23">
        <f t="shared" si="45"/>
        <v>4.6561234464460144E-2</v>
      </c>
      <c r="M426" s="23">
        <f t="shared" si="46"/>
        <v>2.3570073121595193E-2</v>
      </c>
      <c r="N426" s="23">
        <f>SUMPRODUCT(H426:K426,Portfolio!$B$23:$E$23)</f>
        <v>2.3128183129784399E-2</v>
      </c>
      <c r="O426" s="23">
        <f>SUMPRODUCT(H426:K426,Portfolio!$B$24:$E$24)</f>
        <v>8.4120623644987659E-3</v>
      </c>
      <c r="Q426" s="21">
        <f t="shared" si="47"/>
        <v>208.76239106412828</v>
      </c>
      <c r="R426" s="21">
        <f t="shared" si="48"/>
        <v>280.0084065010272</v>
      </c>
      <c r="S426" s="22">
        <f>Q426/MAX(Q$6:Q426)-1</f>
        <v>-3.3650325424804617E-2</v>
      </c>
      <c r="T426" s="22">
        <f>R426/MAX(R$6:R426)-1</f>
        <v>0</v>
      </c>
    </row>
    <row r="427" spans="1:20" x14ac:dyDescent="0.2">
      <c r="A427" s="18">
        <v>45611</v>
      </c>
      <c r="B427" s="19">
        <v>534.83000000000004</v>
      </c>
      <c r="C427" s="19">
        <v>201.12</v>
      </c>
      <c r="D427" s="19">
        <v>61.74</v>
      </c>
      <c r="E427" s="19">
        <v>4.3099999999999996</v>
      </c>
      <c r="F427" s="20">
        <v>5870.62</v>
      </c>
      <c r="H427" s="23">
        <f t="shared" si="42"/>
        <v>-5.2660478957063717E-2</v>
      </c>
      <c r="I427" s="23">
        <f t="shared" si="43"/>
        <v>-8.7021653275228039E-2</v>
      </c>
      <c r="J427" s="23">
        <f t="shared" si="44"/>
        <v>-3.4105131414267853E-2</v>
      </c>
      <c r="K427" s="23">
        <f>E426/100/Inputs!$B$17-'Valuation and Bond'!$B$44*(E427-E426)/100+0.5*'Valuation and Bond'!$B$45*((E427-E426)/100)^2</f>
        <v>-4.4293502928106935E-3</v>
      </c>
      <c r="L427" s="23">
        <f t="shared" si="45"/>
        <v>-2.0835487712532963E-2</v>
      </c>
      <c r="M427" s="23">
        <f t="shared" si="46"/>
        <v>-4.8091010953513737E-2</v>
      </c>
      <c r="N427" s="23">
        <f>SUMPRODUCT(H427:K427,Portfolio!$B$23:$E$23)</f>
        <v>-4.4554153484842575E-2</v>
      </c>
      <c r="O427" s="23">
        <f>SUMPRODUCT(H427:K427,Portfolio!$B$24:$E$24)</f>
        <v>-3.1632750758342501E-2</v>
      </c>
      <c r="Q427" s="21">
        <f t="shared" si="47"/>
        <v>198.72279662878157</v>
      </c>
      <c r="R427" s="21">
        <f t="shared" si="48"/>
        <v>274.17429478796913</v>
      </c>
      <c r="S427" s="22">
        <f>Q427/MAX(Q$6:Q427)-1</f>
        <v>-8.0123058209724762E-2</v>
      </c>
      <c r="T427" s="22">
        <f>R427/MAX(R$6:R427)-1</f>
        <v>-2.0835487712532852E-2</v>
      </c>
    </row>
    <row r="428" spans="1:20" x14ac:dyDescent="0.2">
      <c r="A428" s="18">
        <v>45618</v>
      </c>
      <c r="B428" s="19">
        <v>542.22</v>
      </c>
      <c r="C428" s="19">
        <v>198</v>
      </c>
      <c r="D428" s="19">
        <v>63.92</v>
      </c>
      <c r="E428" s="19">
        <v>4.28</v>
      </c>
      <c r="F428" s="20">
        <v>5969.34</v>
      </c>
      <c r="H428" s="23">
        <f t="shared" si="42"/>
        <v>1.3817474711590672E-2</v>
      </c>
      <c r="I428" s="23">
        <f t="shared" si="43"/>
        <v>-1.5513126491646823E-2</v>
      </c>
      <c r="J428" s="23">
        <f t="shared" si="44"/>
        <v>3.5309361839974018E-2</v>
      </c>
      <c r="K428" s="23">
        <f>E427/100/Inputs!$B$17-'Valuation and Bond'!$B$44*(E428-E427)/100+0.5*'Valuation and Bond'!$B$45*((E428-E427)/100)^2</f>
        <v>2.1427139026502415E-3</v>
      </c>
      <c r="L428" s="23">
        <f t="shared" si="45"/>
        <v>1.6815941076070429E-2</v>
      </c>
      <c r="M428" s="23">
        <f t="shared" si="46"/>
        <v>9.056936058563593E-3</v>
      </c>
      <c r="N428" s="23">
        <f>SUMPRODUCT(H428:K428,Portfolio!$B$23:$E$23)</f>
        <v>8.9391059906420278E-3</v>
      </c>
      <c r="O428" s="23">
        <f>SUMPRODUCT(H428:K428,Portfolio!$B$24:$E$24)</f>
        <v>1.2543500959089295E-2</v>
      </c>
      <c r="Q428" s="21">
        <f t="shared" si="47"/>
        <v>200.52261629122737</v>
      </c>
      <c r="R428" s="21">
        <f t="shared" si="48"/>
        <v>278.78479357369679</v>
      </c>
      <c r="S428" s="22">
        <f>Q428/MAX(Q$6:Q428)-1</f>
        <v>-7.1791791566183316E-2</v>
      </c>
      <c r="T428" s="22">
        <f>R428/MAX(R$6:R428)-1</f>
        <v>-4.3699149701276196E-3</v>
      </c>
    </row>
    <row r="429" spans="1:20" x14ac:dyDescent="0.2">
      <c r="A429" s="18">
        <v>45625</v>
      </c>
      <c r="B429" s="19">
        <v>529.41</v>
      </c>
      <c r="C429" s="19">
        <v>201.03</v>
      </c>
      <c r="D429" s="19">
        <v>64.08</v>
      </c>
      <c r="E429" s="19">
        <v>4.13</v>
      </c>
      <c r="F429" s="20">
        <v>6032.38</v>
      </c>
      <c r="H429" s="23">
        <f t="shared" si="42"/>
        <v>-2.3625096824167469E-2</v>
      </c>
      <c r="I429" s="23">
        <f t="shared" si="43"/>
        <v>1.5303030303030374E-2</v>
      </c>
      <c r="J429" s="23">
        <f t="shared" si="44"/>
        <v>2.5031289111387967E-3</v>
      </c>
      <c r="K429" s="23">
        <f>E428/100/Inputs!$B$17-'Valuation and Bond'!$B$44*(E429-E428)/100+0.5*'Valuation and Bond'!$B$45*((E429-E428)/100)^2</f>
        <v>7.4127671387340249E-3</v>
      </c>
      <c r="L429" s="23">
        <f t="shared" si="45"/>
        <v>1.0560631493598871E-2</v>
      </c>
      <c r="M429" s="23">
        <f t="shared" si="46"/>
        <v>4.2470341060539827E-3</v>
      </c>
      <c r="N429" s="23">
        <f>SUMPRODUCT(H429:K429,Portfolio!$B$23:$E$23)</f>
        <v>3.984573821839317E-4</v>
      </c>
      <c r="O429" s="23">
        <f>SUMPRODUCT(H429:K429,Portfolio!$B$24:$E$24)</f>
        <v>2.7937628491823555E-3</v>
      </c>
      <c r="Q429" s="21">
        <f t="shared" si="47"/>
        <v>201.3742426816514</v>
      </c>
      <c r="R429" s="21">
        <f t="shared" si="48"/>
        <v>281.72893704464764</v>
      </c>
      <c r="S429" s="22">
        <f>Q429/MAX(Q$6:Q429)-1</f>
        <v>-6.7849659647445493E-2</v>
      </c>
      <c r="T429" s="22">
        <f>R429/MAX(R$6:R429)-1</f>
        <v>0</v>
      </c>
    </row>
    <row r="430" spans="1:20" x14ac:dyDescent="0.2">
      <c r="A430" s="18">
        <v>45632</v>
      </c>
      <c r="B430" s="19">
        <v>513.03</v>
      </c>
      <c r="C430" s="19">
        <v>193.1</v>
      </c>
      <c r="D430" s="19">
        <v>62.53</v>
      </c>
      <c r="E430" s="19">
        <v>4.07</v>
      </c>
      <c r="F430" s="20">
        <v>6090.27</v>
      </c>
      <c r="H430" s="23">
        <f t="shared" si="42"/>
        <v>-3.0940103133677122E-2</v>
      </c>
      <c r="I430" s="23">
        <f t="shared" si="43"/>
        <v>-3.9446848729045469E-2</v>
      </c>
      <c r="J430" s="23">
        <f t="shared" si="44"/>
        <v>-2.4188514357053603E-2</v>
      </c>
      <c r="K430" s="23">
        <f>E429/100/Inputs!$B$17-'Valuation and Bond'!$B$44*(E430-E429)/100+0.5*'Valuation and Bond'!$B$45*((E430-E429)/100)^2</f>
        <v>3.424001414002635E-3</v>
      </c>
      <c r="L430" s="23">
        <f t="shared" si="45"/>
        <v>9.5965439842982114E-3</v>
      </c>
      <c r="M430" s="23">
        <f t="shared" si="46"/>
        <v>-2.459584705850229E-2</v>
      </c>
      <c r="N430" s="23">
        <f>SUMPRODUCT(H430:K430,Portfolio!$B$23:$E$23)</f>
        <v>-2.278786620144339E-2</v>
      </c>
      <c r="O430" s="23">
        <f>SUMPRODUCT(H430:K430,Portfolio!$B$24:$E$24)</f>
        <v>-1.6033991312789601E-2</v>
      </c>
      <c r="Q430" s="21">
        <f t="shared" si="47"/>
        <v>196.42127260713178</v>
      </c>
      <c r="R430" s="21">
        <f t="shared" si="48"/>
        <v>284.43256118064619</v>
      </c>
      <c r="S430" s="22">
        <f>Q430/MAX(Q$6:Q430)-1</f>
        <v>-9.0776686854287747E-2</v>
      </c>
      <c r="T430" s="22">
        <f>R430/MAX(R$6:R430)-1</f>
        <v>0</v>
      </c>
    </row>
    <row r="431" spans="1:20" x14ac:dyDescent="0.2">
      <c r="A431" s="18">
        <v>45639</v>
      </c>
      <c r="B431" s="19">
        <v>494.65</v>
      </c>
      <c r="C431" s="19">
        <v>191.59</v>
      </c>
      <c r="D431" s="19">
        <v>63.12</v>
      </c>
      <c r="E431" s="19">
        <v>4.1399999999999997</v>
      </c>
      <c r="F431" s="20">
        <v>6051.09</v>
      </c>
      <c r="H431" s="23">
        <f t="shared" si="42"/>
        <v>-3.582636492992608E-2</v>
      </c>
      <c r="I431" s="23">
        <f t="shared" si="43"/>
        <v>-7.8197824961159235E-3</v>
      </c>
      <c r="J431" s="23">
        <f t="shared" si="44"/>
        <v>9.4354709739323805E-3</v>
      </c>
      <c r="K431" s="23">
        <f>E430/100/Inputs!$B$17-'Valuation and Bond'!$B$44*(E431-E430)/100+0.5*'Valuation and Bond'!$B$45*((E431-E430)/100)^2</f>
        <v>-2.2750846449919619E-3</v>
      </c>
      <c r="L431" s="23">
        <f t="shared" si="45"/>
        <v>-6.4332123206360947E-3</v>
      </c>
      <c r="M431" s="23">
        <f t="shared" si="46"/>
        <v>-4.5980670522296745E-3</v>
      </c>
      <c r="N431" s="23">
        <f>SUMPRODUCT(H431:K431,Portfolio!$B$23:$E$23)</f>
        <v>-9.1214402742753956E-3</v>
      </c>
      <c r="O431" s="23">
        <f>SUMPRODUCT(H431:K431,Portfolio!$B$24:$E$24)</f>
        <v>-3.3675974810791071E-3</v>
      </c>
      <c r="Q431" s="21">
        <f t="shared" si="47"/>
        <v>195.51811442519991</v>
      </c>
      <c r="R431" s="21">
        <f t="shared" si="48"/>
        <v>282.60274612366879</v>
      </c>
      <c r="S431" s="22">
        <f>Q431/MAX(Q$6:Q431)-1</f>
        <v>-9.4957356613582178E-2</v>
      </c>
      <c r="T431" s="22">
        <f>R431/MAX(R$6:R431)-1</f>
        <v>-6.4332123206359837E-3</v>
      </c>
    </row>
    <row r="432" spans="1:20" x14ac:dyDescent="0.2">
      <c r="A432" s="18">
        <v>45646</v>
      </c>
      <c r="B432" s="19">
        <v>489.02</v>
      </c>
      <c r="C432" s="19">
        <v>186.87</v>
      </c>
      <c r="D432" s="19">
        <v>62.55</v>
      </c>
      <c r="E432" s="19">
        <v>4.34</v>
      </c>
      <c r="F432" s="20">
        <v>5930.85</v>
      </c>
      <c r="H432" s="23">
        <f t="shared" si="42"/>
        <v>-1.1381785100576192E-2</v>
      </c>
      <c r="I432" s="23">
        <f t="shared" si="43"/>
        <v>-2.4635941333054912E-2</v>
      </c>
      <c r="J432" s="23">
        <f t="shared" si="44"/>
        <v>-9.0304182509505226E-3</v>
      </c>
      <c r="K432" s="23">
        <f>E431/100/Inputs!$B$17-'Valuation and Bond'!$B$44*(E432-E431)/100+0.5*'Valuation and Bond'!$B$45*((E432-E431)/100)^2</f>
        <v>-7.9109551628025292E-3</v>
      </c>
      <c r="L432" s="23">
        <f t="shared" si="45"/>
        <v>-1.9870800136834843E-2</v>
      </c>
      <c r="M432" s="23">
        <f t="shared" si="46"/>
        <v>-1.4267904357990774E-2</v>
      </c>
      <c r="N432" s="23">
        <f>SUMPRODUCT(H432:K432,Portfolio!$B$23:$E$23)</f>
        <v>-1.323977496184604E-2</v>
      </c>
      <c r="O432" s="23">
        <f>SUMPRODUCT(H432:K432,Portfolio!$B$24:$E$24)</f>
        <v>-1.0951895458678695E-2</v>
      </c>
      <c r="Q432" s="21">
        <f t="shared" si="47"/>
        <v>192.72848066832645</v>
      </c>
      <c r="R432" s="21">
        <f t="shared" si="48"/>
        <v>276.98720343732469</v>
      </c>
      <c r="S432" s="22">
        <f>Q432/MAX(Q$6:Q432)-1</f>
        <v>-0.10787041848932277</v>
      </c>
      <c r="T432" s="22">
        <f>R432/MAX(R$6:R432)-1</f>
        <v>-2.6176179381209641E-2</v>
      </c>
    </row>
    <row r="433" spans="1:20" x14ac:dyDescent="0.2">
      <c r="A433" s="18">
        <v>45653</v>
      </c>
      <c r="B433" s="19">
        <v>488.97</v>
      </c>
      <c r="C433" s="19">
        <v>191.18</v>
      </c>
      <c r="D433" s="19">
        <v>62.45</v>
      </c>
      <c r="E433" s="19">
        <v>4.4400000000000004</v>
      </c>
      <c r="F433" s="20">
        <v>5970.84</v>
      </c>
      <c r="H433" s="23">
        <f t="shared" si="42"/>
        <v>-1.0224530694036282E-4</v>
      </c>
      <c r="I433" s="23">
        <f t="shared" si="43"/>
        <v>2.3064162251832832E-2</v>
      </c>
      <c r="J433" s="23">
        <f t="shared" si="44"/>
        <v>-1.5987210231813709E-3</v>
      </c>
      <c r="K433" s="23">
        <f>E432/100/Inputs!$B$17-'Valuation and Bond'!$B$44*(E433-E432)/100+0.5*'Valuation and Bond'!$B$45*((E433-E432)/100)^2</f>
        <v>-3.5302454929942153E-3</v>
      </c>
      <c r="L433" s="23">
        <f t="shared" si="45"/>
        <v>6.7427097296339777E-3</v>
      </c>
      <c r="M433" s="23">
        <f t="shared" si="46"/>
        <v>6.3520085960126812E-3</v>
      </c>
      <c r="N433" s="23">
        <f>SUMPRODUCT(H433:K433,Portfolio!$B$23:$E$23)</f>
        <v>4.4582376071792204E-3</v>
      </c>
      <c r="O433" s="23">
        <f>SUMPRODUCT(H433:K433,Portfolio!$B$24:$E$24)</f>
        <v>1.0869306543288375E-3</v>
      </c>
      <c r="Q433" s="21">
        <f t="shared" si="47"/>
        <v>193.95269363422813</v>
      </c>
      <c r="R433" s="21">
        <f t="shared" si="48"/>
        <v>278.85484774892564</v>
      </c>
      <c r="S433" s="22">
        <f>Q433/MAX(Q$6:Q433)-1</f>
        <v>-0.10220360371880977</v>
      </c>
      <c r="T433" s="22">
        <f>R433/MAX(R$6:R433)-1</f>
        <v>-1.9609968030974034E-2</v>
      </c>
    </row>
    <row r="434" spans="1:20" x14ac:dyDescent="0.2">
      <c r="A434" s="18">
        <v>45660</v>
      </c>
      <c r="B434" s="19">
        <v>481.82</v>
      </c>
      <c r="C434" s="19">
        <v>190.51</v>
      </c>
      <c r="D434" s="19">
        <v>61.75</v>
      </c>
      <c r="E434" s="19">
        <v>4.3899999999999997</v>
      </c>
      <c r="F434" s="20">
        <v>5942.47</v>
      </c>
      <c r="H434" s="23">
        <f t="shared" si="42"/>
        <v>-1.4622573982043918E-2</v>
      </c>
      <c r="I434" s="23">
        <f t="shared" si="43"/>
        <v>-3.5045506852181552E-3</v>
      </c>
      <c r="J434" s="23">
        <f t="shared" si="44"/>
        <v>-1.1208967173738982E-2</v>
      </c>
      <c r="K434" s="23">
        <f>E433/100/Inputs!$B$17-'Valuation and Bond'!$B$44*(E434-E433)/100+0.5*'Valuation and Bond'!$B$45*((E434-E433)/100)^2</f>
        <v>3.0447563724995174E-3</v>
      </c>
      <c r="L434" s="23">
        <f t="shared" si="45"/>
        <v>-4.7514252600974194E-3</v>
      </c>
      <c r="M434" s="23">
        <f t="shared" si="46"/>
        <v>-6.2680679253798131E-3</v>
      </c>
      <c r="N434" s="23">
        <f>SUMPRODUCT(H434:K434,Portfolio!$B$23:$E$23)</f>
        <v>-6.5728338671253847E-3</v>
      </c>
      <c r="O434" s="23">
        <f>SUMPRODUCT(H434:K434,Portfolio!$B$24:$E$24)</f>
        <v>-4.9274269297539305E-3</v>
      </c>
      <c r="Q434" s="21">
        <f t="shared" si="47"/>
        <v>192.73698497621839</v>
      </c>
      <c r="R434" s="21">
        <f t="shared" si="48"/>
        <v>277.52988978143077</v>
      </c>
      <c r="S434" s="22">
        <f>Q434/MAX(Q$6:Q434)-1</f>
        <v>-0.10783105251386149</v>
      </c>
      <c r="T434" s="22">
        <f>R434/MAX(R$6:R434)-1</f>
        <v>-2.4268217993619445E-2</v>
      </c>
    </row>
    <row r="435" spans="1:20" x14ac:dyDescent="0.2">
      <c r="A435" s="18">
        <v>45667</v>
      </c>
      <c r="B435" s="19">
        <v>468.05</v>
      </c>
      <c r="C435" s="19">
        <v>190.15</v>
      </c>
      <c r="D435" s="19">
        <v>61.07</v>
      </c>
      <c r="E435" s="19">
        <v>4.4800000000000004</v>
      </c>
      <c r="F435" s="20">
        <v>5827.04</v>
      </c>
      <c r="H435" s="23">
        <f t="shared" si="42"/>
        <v>-2.8579137437217184E-2</v>
      </c>
      <c r="I435" s="23">
        <f t="shared" si="43"/>
        <v>-1.8896645845362103E-3</v>
      </c>
      <c r="J435" s="23">
        <f t="shared" si="44"/>
        <v>-1.10121457489879E-2</v>
      </c>
      <c r="K435" s="23">
        <f>E434/100/Inputs!$B$17-'Valuation and Bond'!$B$44*(E435-E434)/100+0.5*'Valuation and Bond'!$B$45*((E435-E434)/100)^2</f>
        <v>-3.085161594199708E-3</v>
      </c>
      <c r="L435" s="23">
        <f t="shared" si="45"/>
        <v>-1.9424582707190829E-2</v>
      </c>
      <c r="M435" s="23">
        <f t="shared" si="46"/>
        <v>-8.7439565324515852E-3</v>
      </c>
      <c r="N435" s="23">
        <f>SUMPRODUCT(H435:K435,Portfolio!$B$23:$E$23)</f>
        <v>-1.114152734123525E-2</v>
      </c>
      <c r="O435" s="23">
        <f>SUMPRODUCT(H435:K435,Portfolio!$B$24:$E$24)</f>
        <v>-8.8979208095119732E-3</v>
      </c>
      <c r="Q435" s="21">
        <f t="shared" si="47"/>
        <v>191.05170115739057</v>
      </c>
      <c r="R435" s="21">
        <f t="shared" si="48"/>
        <v>272.13898748365381</v>
      </c>
      <c r="S435" s="22">
        <f>Q435/MAX(Q$6:Q435)-1</f>
        <v>-0.11563213901028335</v>
      </c>
      <c r="T435" s="22">
        <f>R435/MAX(R$6:R435)-1</f>
        <v>-4.32214006932371E-2</v>
      </c>
    </row>
    <row r="436" spans="1:20" x14ac:dyDescent="0.2">
      <c r="A436" s="18">
        <v>45674</v>
      </c>
      <c r="B436" s="19">
        <v>490.32</v>
      </c>
      <c r="C436" s="19">
        <v>192.42</v>
      </c>
      <c r="D436" s="19">
        <v>62.71</v>
      </c>
      <c r="E436" s="19">
        <v>4.49</v>
      </c>
      <c r="F436" s="20">
        <v>5996.66</v>
      </c>
      <c r="H436" s="23">
        <f t="shared" si="42"/>
        <v>4.7580386710821543E-2</v>
      </c>
      <c r="I436" s="23">
        <f t="shared" si="43"/>
        <v>1.1937943728635103E-2</v>
      </c>
      <c r="J436" s="23">
        <f t="shared" si="44"/>
        <v>2.6854429343376562E-2</v>
      </c>
      <c r="K436" s="23">
        <f>E435/100/Inputs!$B$17-'Valuation and Bond'!$B$44*(E436-E435)/100+0.5*'Valuation and Bond'!$B$45*((E436-E435)/100)^2</f>
        <v>4.2403480019568803E-4</v>
      </c>
      <c r="L436" s="23">
        <f t="shared" si="45"/>
        <v>2.9109118866525785E-2</v>
      </c>
      <c r="M436" s="23">
        <f t="shared" si="46"/>
        <v>1.9392099533062167E-2</v>
      </c>
      <c r="N436" s="23">
        <f>SUMPRODUCT(H436:K436,Portfolio!$B$23:$E$23)</f>
        <v>2.1699198645757225E-2</v>
      </c>
      <c r="O436" s="23">
        <f>SUMPRODUCT(H436:K436,Portfolio!$B$24:$E$24)</f>
        <v>1.6978904735376103E-2</v>
      </c>
      <c r="Q436" s="21">
        <f t="shared" si="47"/>
        <v>194.75659476219553</v>
      </c>
      <c r="R436" s="21">
        <f t="shared" si="48"/>
        <v>280.06071361853145</v>
      </c>
      <c r="S436" s="22">
        <f>Q436/MAX(Q$6:Q436)-1</f>
        <v>-9.8482389426129524E-2</v>
      </c>
      <c r="T436" s="22">
        <f>R436/MAX(R$6:R436)-1</f>
        <v>-1.5370418717068457E-2</v>
      </c>
    </row>
    <row r="437" spans="1:20" x14ac:dyDescent="0.2">
      <c r="A437" s="18">
        <v>45681</v>
      </c>
      <c r="B437" s="19">
        <v>496.96</v>
      </c>
      <c r="C437" s="19">
        <v>185.52</v>
      </c>
      <c r="D437" s="19">
        <v>61.92</v>
      </c>
      <c r="E437" s="19">
        <v>4.43</v>
      </c>
      <c r="F437" s="20">
        <v>6101.24</v>
      </c>
      <c r="H437" s="23">
        <f t="shared" si="42"/>
        <v>1.3542176537771233E-2</v>
      </c>
      <c r="I437" s="23">
        <f t="shared" si="43"/>
        <v>-3.5859058309946845E-2</v>
      </c>
      <c r="J437" s="23">
        <f t="shared" si="44"/>
        <v>-1.2597671822675793E-2</v>
      </c>
      <c r="K437" s="23">
        <f>E436/100/Inputs!$B$17-'Valuation and Bond'!$B$44*(E437-E436)/100+0.5*'Valuation and Bond'!$B$45*((E437-E436)/100)^2</f>
        <v>3.4932321832334429E-3</v>
      </c>
      <c r="L437" s="23">
        <f t="shared" si="45"/>
        <v>1.7439708104177942E-2</v>
      </c>
      <c r="M437" s="23">
        <f t="shared" si="46"/>
        <v>-1.3592218654534163E-2</v>
      </c>
      <c r="N437" s="23">
        <f>SUMPRODUCT(H437:K437,Portfolio!$B$23:$E$23)</f>
        <v>-7.855330352904491E-3</v>
      </c>
      <c r="O437" s="23">
        <f>SUMPRODUCT(H437:K437,Portfolio!$B$24:$E$24)</f>
        <v>-5.8716913375651643E-3</v>
      </c>
      <c r="Q437" s="21">
        <f t="shared" si="47"/>
        <v>192.10942054177525</v>
      </c>
      <c r="R437" s="21">
        <f t="shared" si="48"/>
        <v>284.94489071548639</v>
      </c>
      <c r="S437" s="22">
        <f>Q437/MAX(Q$6:Q437)-1</f>
        <v>-0.11073601390996279</v>
      </c>
      <c r="T437" s="22">
        <f>R437/MAX(R$6:R437)-1</f>
        <v>0</v>
      </c>
    </row>
    <row r="438" spans="1:20" x14ac:dyDescent="0.2">
      <c r="A438" s="18">
        <v>45688</v>
      </c>
      <c r="B438" s="19">
        <v>462.95</v>
      </c>
      <c r="C438" s="19">
        <v>184.61</v>
      </c>
      <c r="D438" s="19">
        <v>63.48</v>
      </c>
      <c r="E438" s="19">
        <v>4.33</v>
      </c>
      <c r="F438" s="20">
        <v>6040.53</v>
      </c>
      <c r="H438" s="23">
        <f t="shared" si="42"/>
        <v>-6.8436091435930435E-2</v>
      </c>
      <c r="I438" s="23">
        <f t="shared" si="43"/>
        <v>-4.9051315222078395E-3</v>
      </c>
      <c r="J438" s="23">
        <f t="shared" si="44"/>
        <v>2.5193798449612226E-2</v>
      </c>
      <c r="K438" s="23">
        <f>E437/100/Inputs!$B$17-'Valuation and Bond'!$B$44*(E438-E437)/100+0.5*'Valuation and Bond'!$B$45*((E438-E437)/100)^2</f>
        <v>5.2393967007954229E-3</v>
      </c>
      <c r="L438" s="23">
        <f t="shared" si="45"/>
        <v>-9.9504363047511202E-3</v>
      </c>
      <c r="M438" s="23">
        <f t="shared" si="46"/>
        <v>-1.1356892006861594E-3</v>
      </c>
      <c r="N438" s="23">
        <f>SUMPRODUCT(H438:K438,Portfolio!$B$23:$E$23)</f>
        <v>-1.0727006951932657E-2</v>
      </c>
      <c r="O438" s="23">
        <f>SUMPRODUCT(H438:K438,Portfolio!$B$24:$E$24)</f>
        <v>1.1580466155700782E-3</v>
      </c>
      <c r="Q438" s="21">
        <f t="shared" si="47"/>
        <v>191.89124394751587</v>
      </c>
      <c r="R438" s="21">
        <f t="shared" si="48"/>
        <v>282.10956473005768</v>
      </c>
      <c r="S438" s="22">
        <f>Q438/MAX(Q$6:Q438)-1</f>
        <v>-0.11174594141552441</v>
      </c>
      <c r="T438" s="22">
        <f>R438/MAX(R$6:R438)-1</f>
        <v>-9.9504363047511202E-3</v>
      </c>
    </row>
    <row r="439" spans="1:20" x14ac:dyDescent="0.2">
      <c r="A439" s="18">
        <v>45695</v>
      </c>
      <c r="B439" s="19">
        <v>444.39</v>
      </c>
      <c r="C439" s="19">
        <v>180</v>
      </c>
      <c r="D439" s="19">
        <v>63.84</v>
      </c>
      <c r="E439" s="19">
        <v>4.3</v>
      </c>
      <c r="F439" s="20">
        <v>6025.99</v>
      </c>
      <c r="H439" s="23">
        <f t="shared" si="42"/>
        <v>-4.0090722540231161E-2</v>
      </c>
      <c r="I439" s="23">
        <f t="shared" si="43"/>
        <v>-2.4971561670548814E-2</v>
      </c>
      <c r="J439" s="23">
        <f t="shared" si="44"/>
        <v>5.6710775047259521E-3</v>
      </c>
      <c r="K439" s="23">
        <f>E438/100/Inputs!$B$17-'Valuation and Bond'!$B$44*(E439-E438)/100+0.5*'Valuation and Bond'!$B$45*((E439-E438)/100)^2</f>
        <v>2.1465600564964343E-3</v>
      </c>
      <c r="L439" s="23">
        <f t="shared" si="45"/>
        <v>-2.4070735514929442E-3</v>
      </c>
      <c r="M439" s="23">
        <f t="shared" si="46"/>
        <v>-1.1209335418717442E-2</v>
      </c>
      <c r="N439" s="23">
        <f>SUMPRODUCT(H439:K439,Portfolio!$B$23:$E$23)</f>
        <v>-1.4311161662389398E-2</v>
      </c>
      <c r="O439" s="23">
        <f>SUMPRODUCT(H439:K439,Portfolio!$B$24:$E$24)</f>
        <v>-5.6945109271672048E-3</v>
      </c>
      <c r="Q439" s="21">
        <f t="shared" si="47"/>
        <v>189.74027063019324</v>
      </c>
      <c r="R439" s="21">
        <f t="shared" si="48"/>
        <v>281.43050625817278</v>
      </c>
      <c r="S439" s="22">
        <f>Q439/MAX(Q$6:Q439)-1</f>
        <v>-0.12170267909523491</v>
      </c>
      <c r="T439" s="22">
        <f>R439/MAX(R$6:R439)-1</f>
        <v>-1.2333558424189039E-2</v>
      </c>
    </row>
    <row r="440" spans="1:20" x14ac:dyDescent="0.2">
      <c r="A440" s="18">
        <v>45702</v>
      </c>
      <c r="B440" s="19">
        <v>423.19</v>
      </c>
      <c r="C440" s="19">
        <v>183.03</v>
      </c>
      <c r="D440" s="19">
        <v>68.87</v>
      </c>
      <c r="E440" s="19">
        <v>4.38</v>
      </c>
      <c r="F440" s="20">
        <v>6114.63</v>
      </c>
      <c r="H440" s="23">
        <f t="shared" si="42"/>
        <v>-4.7705843965885841E-2</v>
      </c>
      <c r="I440" s="23">
        <f t="shared" si="43"/>
        <v>1.6833333333333256E-2</v>
      </c>
      <c r="J440" s="23">
        <f t="shared" si="44"/>
        <v>7.8790726817042689E-2</v>
      </c>
      <c r="K440" s="23">
        <f>E439/100/Inputs!$B$17-'Valuation and Bond'!$B$44*(E440-E439)/100+0.5*'Valuation and Bond'!$B$45*((E440-E439)/100)^2</f>
        <v>-2.6667746448656104E-3</v>
      </c>
      <c r="L440" s="23">
        <f t="shared" si="45"/>
        <v>1.4709616179250373E-2</v>
      </c>
      <c r="M440" s="23">
        <f t="shared" si="46"/>
        <v>2.5292491046298889E-2</v>
      </c>
      <c r="N440" s="23">
        <f>SUMPRODUCT(H440:K440,Portfolio!$B$23:$E$23)</f>
        <v>1.1312860384906124E-2</v>
      </c>
      <c r="O440" s="23">
        <f>SUMPRODUCT(H440:K440,Portfolio!$B$24:$E$24)</f>
        <v>2.1699159361116754E-2</v>
      </c>
      <c r="Q440" s="21">
        <f t="shared" si="47"/>
        <v>194.53927472622971</v>
      </c>
      <c r="R440" s="21">
        <f t="shared" si="48"/>
        <v>285.57024098636265</v>
      </c>
      <c r="S440" s="22">
        <f>Q440/MAX(Q$6:Q440)-1</f>
        <v>-9.9488351970262956E-2</v>
      </c>
      <c r="T440" s="22">
        <f>R440/MAX(R$6:R440)-1</f>
        <v>0</v>
      </c>
    </row>
    <row r="441" spans="1:20" x14ac:dyDescent="0.2">
      <c r="A441" s="18">
        <v>45709</v>
      </c>
      <c r="B441" s="19">
        <v>440.72</v>
      </c>
      <c r="C441" s="19">
        <v>202</v>
      </c>
      <c r="D441" s="19">
        <v>71.349999999999994</v>
      </c>
      <c r="E441" s="19">
        <v>4.34</v>
      </c>
      <c r="F441" s="20">
        <v>6013.13</v>
      </c>
      <c r="H441" s="23">
        <f t="shared" si="42"/>
        <v>4.1423474089652412E-2</v>
      </c>
      <c r="I441" s="23">
        <f t="shared" si="43"/>
        <v>0.10364421133147572</v>
      </c>
      <c r="J441" s="23">
        <f t="shared" si="44"/>
        <v>3.6009873675039827E-2</v>
      </c>
      <c r="K441" s="23">
        <f>E440/100/Inputs!$B$17-'Valuation and Bond'!$B$44*(E441-E440)/100+0.5*'Valuation and Bond'!$B$45*((E441-E440)/100)^2</f>
        <v>2.5945836123051039E-3</v>
      </c>
      <c r="L441" s="23">
        <f t="shared" si="45"/>
        <v>-1.6599532596412225E-2</v>
      </c>
      <c r="M441" s="23">
        <f t="shared" si="46"/>
        <v>5.2363449144052894E-2</v>
      </c>
      <c r="N441" s="23">
        <f>SUMPRODUCT(H441:K441,Portfolio!$B$23:$E$23)</f>
        <v>4.5918035677118267E-2</v>
      </c>
      <c r="O441" s="23">
        <f>SUMPRODUCT(H441:K441,Portfolio!$B$24:$E$24)</f>
        <v>3.2296357049101609E-2</v>
      </c>
      <c r="Q441" s="21">
        <f t="shared" si="47"/>
        <v>204.72602214487759</v>
      </c>
      <c r="R441" s="21">
        <f t="shared" si="48"/>
        <v>280.82990846254421</v>
      </c>
      <c r="S441" s="22">
        <f>Q441/MAX(Q$6:Q441)-1</f>
        <v>-5.2334456085030401E-2</v>
      </c>
      <c r="T441" s="22">
        <f>R441/MAX(R$6:R441)-1</f>
        <v>-1.6599532596412336E-2</v>
      </c>
    </row>
    <row r="442" spans="1:20" x14ac:dyDescent="0.2">
      <c r="A442" s="18">
        <v>45716</v>
      </c>
      <c r="B442" s="19">
        <v>450.37</v>
      </c>
      <c r="C442" s="19">
        <v>195.99</v>
      </c>
      <c r="D442" s="19">
        <v>71.209999999999994</v>
      </c>
      <c r="E442" s="19">
        <v>4.1100000000000003</v>
      </c>
      <c r="F442" s="20">
        <v>5954.5</v>
      </c>
      <c r="H442" s="23">
        <f t="shared" si="42"/>
        <v>2.1895988382646614E-2</v>
      </c>
      <c r="I442" s="23">
        <f t="shared" si="43"/>
        <v>-2.9752475247524668E-2</v>
      </c>
      <c r="J442" s="23">
        <f t="shared" si="44"/>
        <v>-1.9621583742116533E-3</v>
      </c>
      <c r="K442" s="23">
        <f>E441/100/Inputs!$B$17-'Valuation and Bond'!$B$44*(E442-E441)/100+0.5*'Valuation and Bond'!$B$45*((E442-E441)/100)^2</f>
        <v>1.0959610775184658E-2</v>
      </c>
      <c r="L442" s="23">
        <f t="shared" si="45"/>
        <v>-9.7503296951837459E-3</v>
      </c>
      <c r="M442" s="23">
        <f t="shared" si="46"/>
        <v>-5.3874046672419667E-3</v>
      </c>
      <c r="N442" s="23">
        <f>SUMPRODUCT(H442:K442,Portfolio!$B$23:$E$23)</f>
        <v>2.852413840237376E-4</v>
      </c>
      <c r="O442" s="23">
        <f>SUMPRODUCT(H442:K442,Portfolio!$B$24:$E$24)</f>
        <v>2.6024264484792586E-3</v>
      </c>
      <c r="Q442" s="21">
        <f t="shared" si="47"/>
        <v>203.62308021766839</v>
      </c>
      <c r="R442" s="21">
        <f t="shared" si="48"/>
        <v>278.09172426676611</v>
      </c>
      <c r="S442" s="22">
        <f>Q442/MAX(Q$6:Q442)-1</f>
        <v>-5.7439913859302361E-2</v>
      </c>
      <c r="T442" s="22">
        <f>R442/MAX(R$6:R442)-1</f>
        <v>-2.6188011375995135E-2</v>
      </c>
    </row>
    <row r="443" spans="1:20" x14ac:dyDescent="0.2">
      <c r="A443" s="18">
        <v>45723</v>
      </c>
      <c r="B443" s="19">
        <v>473.65</v>
      </c>
      <c r="C443" s="19">
        <v>190.52</v>
      </c>
      <c r="D443" s="19">
        <v>71.430000000000007</v>
      </c>
      <c r="E443" s="19">
        <v>4.04</v>
      </c>
      <c r="F443" s="20">
        <v>5770.2</v>
      </c>
      <c r="H443" s="23">
        <f t="shared" si="42"/>
        <v>5.1690831982591945E-2</v>
      </c>
      <c r="I443" s="23">
        <f t="shared" si="43"/>
        <v>-2.7909587223837962E-2</v>
      </c>
      <c r="J443" s="23">
        <f t="shared" si="44"/>
        <v>3.0894537284091861E-3</v>
      </c>
      <c r="K443" s="23">
        <f>E442/100/Inputs!$B$17-'Valuation and Bond'!$B$44*(E443-E442)/100+0.5*'Valuation and Bond'!$B$45*((E443-E442)/100)^2</f>
        <v>3.8592418137376886E-3</v>
      </c>
      <c r="L443" s="23">
        <f t="shared" si="45"/>
        <v>-3.0951381308254255E-2</v>
      </c>
      <c r="M443" s="23">
        <f t="shared" si="46"/>
        <v>-5.4658955008745605E-4</v>
      </c>
      <c r="N443" s="23">
        <f>SUMPRODUCT(H443:K443,Portfolio!$B$23:$E$23)</f>
        <v>7.6824850752252143E-3</v>
      </c>
      <c r="O443" s="23">
        <f>SUMPRODUCT(H443:K443,Portfolio!$B$24:$E$24)</f>
        <v>5.5578135974272223E-3</v>
      </c>
      <c r="Q443" s="21">
        <f t="shared" si="47"/>
        <v>203.51178196986478</v>
      </c>
      <c r="R443" s="21">
        <f t="shared" si="48"/>
        <v>269.48440127031552</v>
      </c>
      <c r="S443" s="22">
        <f>Q443/MAX(Q$6:Q443)-1</f>
        <v>-5.7955107352716473E-2</v>
      </c>
      <c r="T443" s="22">
        <f>R443/MAX(R$6:R443)-1</f>
        <v>-5.6328837558446088E-2</v>
      </c>
    </row>
    <row r="444" spans="1:20" x14ac:dyDescent="0.2">
      <c r="A444" s="18">
        <v>45730</v>
      </c>
      <c r="B444" s="19">
        <v>466.17</v>
      </c>
      <c r="C444" s="19">
        <v>176.42</v>
      </c>
      <c r="D444" s="19">
        <v>69.16</v>
      </c>
      <c r="E444" s="19">
        <v>4.04</v>
      </c>
      <c r="F444" s="20">
        <v>5638.94</v>
      </c>
      <c r="H444" s="23">
        <f t="shared" si="42"/>
        <v>-1.5792251662619994E-2</v>
      </c>
      <c r="I444" s="23">
        <f t="shared" si="43"/>
        <v>-7.4007978165022137E-2</v>
      </c>
      <c r="J444" s="23">
        <f t="shared" si="44"/>
        <v>-3.1779364412711897E-2</v>
      </c>
      <c r="K444" s="23">
        <f>E443/100/Inputs!$B$17-'Valuation and Bond'!$B$44*(E444-E443)/100+0.5*'Valuation and Bond'!$B$45*((E444-E443)/100)^2</f>
        <v>7.7692307692307685E-4</v>
      </c>
      <c r="L444" s="23">
        <f t="shared" si="45"/>
        <v>-2.2747911684170452E-2</v>
      </c>
      <c r="M444" s="23">
        <f t="shared" si="46"/>
        <v>-3.7085257013660111E-2</v>
      </c>
      <c r="N444" s="23">
        <f>SUMPRODUCT(H444:K444,Portfolio!$B$23:$E$23)</f>
        <v>-3.0200667790857737E-2</v>
      </c>
      <c r="O444" s="23">
        <f>SUMPRODUCT(H444:K444,Portfolio!$B$24:$E$24)</f>
        <v>-2.2287179044176937E-2</v>
      </c>
      <c r="Q444" s="21">
        <f t="shared" si="47"/>
        <v>195.96449523020439</v>
      </c>
      <c r="R444" s="21">
        <f t="shared" si="48"/>
        <v>263.35419390995685</v>
      </c>
      <c r="S444" s="22">
        <f>Q444/MAX(Q$6:Q444)-1</f>
        <v>-9.2891084314946748E-2</v>
      </c>
      <c r="T444" s="22">
        <f>R444/MAX(R$6:R444)-1</f>
        <v>-7.7795385820565E-2</v>
      </c>
    </row>
    <row r="445" spans="1:20" x14ac:dyDescent="0.2">
      <c r="A445" s="18">
        <v>45737</v>
      </c>
      <c r="B445" s="19">
        <v>439.7</v>
      </c>
      <c r="C445" s="19">
        <v>179</v>
      </c>
      <c r="D445" s="19">
        <v>68.67</v>
      </c>
      <c r="E445" s="19">
        <v>4.04</v>
      </c>
      <c r="F445" s="20">
        <v>5667.56</v>
      </c>
      <c r="H445" s="23">
        <f t="shared" si="42"/>
        <v>-5.6781860694596453E-2</v>
      </c>
      <c r="I445" s="23">
        <f t="shared" si="43"/>
        <v>1.4624192268450464E-2</v>
      </c>
      <c r="J445" s="23">
        <f t="shared" si="44"/>
        <v>-7.0850202429149078E-3</v>
      </c>
      <c r="K445" s="23">
        <f>E444/100/Inputs!$B$17-'Valuation and Bond'!$B$44*(E445-E444)/100+0.5*'Valuation and Bond'!$B$45*((E445-E444)/100)^2</f>
        <v>7.7692307692307685E-4</v>
      </c>
      <c r="L445" s="23">
        <f t="shared" si="45"/>
        <v>5.0754219764708175E-3</v>
      </c>
      <c r="M445" s="23">
        <f t="shared" si="46"/>
        <v>-4.9334228100445425E-3</v>
      </c>
      <c r="N445" s="23">
        <f>SUMPRODUCT(H445:K445,Portfolio!$B$23:$E$23)</f>
        <v>-1.2116441398034455E-2</v>
      </c>
      <c r="O445" s="23">
        <f>SUMPRODUCT(H445:K445,Portfolio!$B$24:$E$24)</f>
        <v>-7.4718659126966902E-3</v>
      </c>
      <c r="Q445" s="21">
        <f t="shared" si="47"/>
        <v>194.99771951947685</v>
      </c>
      <c r="R445" s="21">
        <f t="shared" si="48"/>
        <v>264.69082757332319</v>
      </c>
      <c r="S445" s="22">
        <f>Q445/MAX(Q$6:Q445)-1</f>
        <v>-9.7366236130782213E-2</v>
      </c>
      <c r="T445" s="22">
        <f>R445/MAX(R$6:R445)-1</f>
        <v>-7.3114808254955865E-2</v>
      </c>
    </row>
    <row r="446" spans="1:20" x14ac:dyDescent="0.2">
      <c r="A446" s="18">
        <v>45744</v>
      </c>
      <c r="B446" s="19">
        <v>441.49</v>
      </c>
      <c r="C446" s="19">
        <v>176.33</v>
      </c>
      <c r="D446" s="19">
        <v>70.37</v>
      </c>
      <c r="E446" s="19">
        <v>4.0599999999999996</v>
      </c>
      <c r="F446" s="20">
        <v>5580.94</v>
      </c>
      <c r="H446" s="23">
        <f t="shared" si="42"/>
        <v>4.070957471002945E-3</v>
      </c>
      <c r="I446" s="23">
        <f t="shared" si="43"/>
        <v>-1.4916201117318395E-2</v>
      </c>
      <c r="J446" s="23">
        <f t="shared" si="44"/>
        <v>2.4756079801951492E-2</v>
      </c>
      <c r="K446" s="23">
        <f>E445/100/Inputs!$B$17-'Valuation and Bond'!$B$44*(E446-E445)/100+0.5*'Valuation and Bond'!$B$45*((E446-E445)/100)^2</f>
        <v>-9.7858118299842616E-5</v>
      </c>
      <c r="L446" s="23">
        <f t="shared" si="45"/>
        <v>-1.5283472958380839E-2</v>
      </c>
      <c r="M446" s="23">
        <f t="shared" si="46"/>
        <v>3.9526608056914799E-3</v>
      </c>
      <c r="N446" s="23">
        <f>SUMPRODUCT(H446:K446,Portfolio!$B$23:$E$23)</f>
        <v>3.4532445093340496E-3</v>
      </c>
      <c r="O446" s="23">
        <f>SUMPRODUCT(H446:K446,Portfolio!$B$24:$E$24)</f>
        <v>6.8955823716803566E-3</v>
      </c>
      <c r="Q446" s="21">
        <f t="shared" si="47"/>
        <v>195.7684793626207</v>
      </c>
      <c r="R446" s="21">
        <f t="shared" si="48"/>
        <v>260.64543246777487</v>
      </c>
      <c r="S446" s="22">
        <f>Q446/MAX(Q$6:Q446)-1</f>
        <v>-9.3798431030442608E-2</v>
      </c>
      <c r="T446" s="22">
        <f>R446/MAX(R$6:R446)-1</f>
        <v>-8.7280833018514858E-2</v>
      </c>
    </row>
    <row r="447" spans="1:20" x14ac:dyDescent="0.2">
      <c r="A447" s="18">
        <v>45751</v>
      </c>
      <c r="B447" s="19">
        <v>432.15</v>
      </c>
      <c r="C447" s="19">
        <v>151.38999999999999</v>
      </c>
      <c r="D447" s="19">
        <v>69.930000000000007</v>
      </c>
      <c r="E447" s="19">
        <v>3.86</v>
      </c>
      <c r="F447" s="20">
        <v>5074.08</v>
      </c>
      <c r="H447" s="23">
        <f t="shared" si="42"/>
        <v>-2.1155632064146501E-2</v>
      </c>
      <c r="I447" s="23">
        <f t="shared" si="43"/>
        <v>-0.14143934667952152</v>
      </c>
      <c r="J447" s="23">
        <f t="shared" si="44"/>
        <v>-6.2526644877077819E-3</v>
      </c>
      <c r="K447" s="23">
        <f>E446/100/Inputs!$B$17-'Valuation and Bond'!$B$44*(E447-E446)/100+0.5*'Valuation and Bond'!$B$45*((E447-E446)/100)^2</f>
        <v>9.578329224776725E-3</v>
      </c>
      <c r="L447" s="23">
        <f t="shared" si="45"/>
        <v>-9.0819826050808627E-2</v>
      </c>
      <c r="M447" s="23">
        <f t="shared" si="46"/>
        <v>-4.9672714072387547E-2</v>
      </c>
      <c r="N447" s="23">
        <f>SUMPRODUCT(H447:K447,Portfolio!$B$23:$E$23)</f>
        <v>-3.9817328501649769E-2</v>
      </c>
      <c r="O447" s="23">
        <f>SUMPRODUCT(H447:K447,Portfolio!$B$24:$E$24)</f>
        <v>-1.9739976245513068E-2</v>
      </c>
      <c r="Q447" s="21">
        <f t="shared" si="47"/>
        <v>186.04412766285512</v>
      </c>
      <c r="R447" s="21">
        <f t="shared" si="48"/>
        <v>236.97365963011376</v>
      </c>
      <c r="S447" s="22">
        <f>Q447/MAX(Q$6:Q447)-1</f>
        <v>-0.13881192245781648</v>
      </c>
      <c r="T447" s="22">
        <f>R447/MAX(R$6:R447)-1</f>
        <v>-0.17017382899701239</v>
      </c>
    </row>
    <row r="448" spans="1:20" x14ac:dyDescent="0.2">
      <c r="A448" s="18">
        <v>45758</v>
      </c>
      <c r="B448" s="19">
        <v>474.9</v>
      </c>
      <c r="C448" s="19">
        <v>147.6</v>
      </c>
      <c r="D448" s="19">
        <v>71.430000000000007</v>
      </c>
      <c r="E448" s="19">
        <v>3.99</v>
      </c>
      <c r="F448" s="20">
        <v>5363.36</v>
      </c>
      <c r="H448" s="23">
        <f t="shared" si="42"/>
        <v>9.8923984727525172E-2</v>
      </c>
      <c r="I448" s="23">
        <f t="shared" si="43"/>
        <v>-2.5034678644560326E-2</v>
      </c>
      <c r="J448" s="23">
        <f t="shared" si="44"/>
        <v>2.1450021450021506E-2</v>
      </c>
      <c r="K448" s="23">
        <f>E447/100/Inputs!$B$17-'Valuation and Bond'!$B$44*(E448-E447)/100+0.5*'Valuation and Bond'!$B$45*((E448-E447)/100)^2</f>
        <v>-4.9276019630635293E-3</v>
      </c>
      <c r="L448" s="23">
        <f t="shared" si="45"/>
        <v>5.7011320278749889E-2</v>
      </c>
      <c r="M448" s="23">
        <f t="shared" si="46"/>
        <v>1.1099845870461731E-2</v>
      </c>
      <c r="N448" s="23">
        <f>SUMPRODUCT(H448:K448,Portfolio!$B$23:$E$23)</f>
        <v>2.2602931392480704E-2</v>
      </c>
      <c r="O448" s="23">
        <f>SUMPRODUCT(H448:K448,Portfolio!$B$24:$E$24)</f>
        <v>1.4730791658735077E-2</v>
      </c>
      <c r="Q448" s="21">
        <f t="shared" si="47"/>
        <v>188.10918880501731</v>
      </c>
      <c r="R448" s="21">
        <f t="shared" si="48"/>
        <v>250.48384083691363</v>
      </c>
      <c r="S448" s="22">
        <f>Q448/MAX(Q$6:Q448)-1</f>
        <v>-0.12925286753161902</v>
      </c>
      <c r="T448" s="22">
        <f>R448/MAX(R$6:R448)-1</f>
        <v>-0.12286434338627239</v>
      </c>
    </row>
    <row r="449" spans="1:20" x14ac:dyDescent="0.2">
      <c r="A449" s="18">
        <v>45765</v>
      </c>
      <c r="B449" s="19">
        <v>464.08</v>
      </c>
      <c r="C449" s="19">
        <v>148.44</v>
      </c>
      <c r="D449" s="19">
        <v>73</v>
      </c>
      <c r="E449" s="19">
        <v>3.97</v>
      </c>
      <c r="F449" s="20">
        <v>5282.7</v>
      </c>
      <c r="H449" s="23">
        <f t="shared" si="42"/>
        <v>-2.2783743946093948E-2</v>
      </c>
      <c r="I449" s="23">
        <f t="shared" si="43"/>
        <v>5.6910569105690367E-3</v>
      </c>
      <c r="J449" s="23">
        <f t="shared" si="44"/>
        <v>2.1979560408791787E-2</v>
      </c>
      <c r="K449" s="23">
        <f>E448/100/Inputs!$B$17-'Valuation and Bond'!$B$44*(E449-E448)/100+0.5*'Valuation and Bond'!$B$45*((E449-E448)/100)^2</f>
        <v>1.6429933973811427E-3</v>
      </c>
      <c r="L449" s="23">
        <f t="shared" si="45"/>
        <v>-1.5039079979714209E-2</v>
      </c>
      <c r="M449" s="23">
        <f t="shared" si="46"/>
        <v>6.60590302507379E-3</v>
      </c>
      <c r="N449" s="23">
        <f>SUMPRODUCT(H449:K449,Portfolio!$B$23:$E$23)</f>
        <v>1.6324666926620045E-3</v>
      </c>
      <c r="O449" s="23">
        <f>SUMPRODUCT(H449:K449,Portfolio!$B$24:$E$24)</f>
        <v>5.9183458097180662E-3</v>
      </c>
      <c r="Q449" s="21">
        <f t="shared" si="47"/>
        <v>189.35181986438855</v>
      </c>
      <c r="R449" s="21">
        <f t="shared" si="48"/>
        <v>246.71679432094129</v>
      </c>
      <c r="S449" s="22">
        <f>Q449/MAX(Q$6:Q449)-1</f>
        <v>-0.12350079641517175</v>
      </c>
      <c r="T449" s="22">
        <f>R449/MAX(R$6:R449)-1</f>
        <v>-0.13605565667914532</v>
      </c>
    </row>
    <row r="450" spans="1:20" x14ac:dyDescent="0.2">
      <c r="A450" s="18">
        <v>45772</v>
      </c>
      <c r="B450" s="19">
        <v>477.64</v>
      </c>
      <c r="C450" s="19">
        <v>162.86000000000001</v>
      </c>
      <c r="D450" s="19">
        <v>71.91</v>
      </c>
      <c r="E450" s="19">
        <v>3.95</v>
      </c>
      <c r="F450" s="20">
        <v>5525.21</v>
      </c>
      <c r="H450" s="23">
        <f t="shared" si="42"/>
        <v>2.9219100155145616E-2</v>
      </c>
      <c r="I450" s="23">
        <f t="shared" si="43"/>
        <v>9.7143627054702364E-2</v>
      </c>
      <c r="J450" s="23">
        <f t="shared" si="44"/>
        <v>-1.4931506849315102E-2</v>
      </c>
      <c r="K450" s="23">
        <f>E449/100/Inputs!$B$17-'Valuation and Bond'!$B$44*(E450-E449)/100+0.5*'Valuation and Bond'!$B$45*((E450-E449)/100)^2</f>
        <v>1.6391472435349889E-3</v>
      </c>
      <c r="L450" s="23">
        <f t="shared" si="45"/>
        <v>4.5906449353550371E-2</v>
      </c>
      <c r="M450" s="23">
        <f t="shared" si="46"/>
        <v>3.121737358567173E-2</v>
      </c>
      <c r="N450" s="23">
        <f>SUMPRODUCT(H450:K450,Portfolio!$B$23:$E$23)</f>
        <v>2.8267591901016968E-2</v>
      </c>
      <c r="O450" s="23">
        <f>SUMPRODUCT(H450:K450,Portfolio!$B$24:$E$24)</f>
        <v>1.2226515759591832E-2</v>
      </c>
      <c r="Q450" s="21">
        <f t="shared" si="47"/>
        <v>195.262886364222</v>
      </c>
      <c r="R450" s="21">
        <f t="shared" si="48"/>
        <v>258.0426863441059</v>
      </c>
      <c r="S450" s="22">
        <f>Q450/MAX(Q$6:Q450)-1</f>
        <v>-9.6138793329320404E-2</v>
      </c>
      <c r="T450" s="22">
        <f>R450/MAX(R$6:R450)-1</f>
        <v>-9.6395039438200159E-2</v>
      </c>
    </row>
    <row r="451" spans="1:20" x14ac:dyDescent="0.2">
      <c r="A451" s="18">
        <v>45779</v>
      </c>
      <c r="B451" s="19">
        <v>472.8</v>
      </c>
      <c r="C451" s="19">
        <v>164.51</v>
      </c>
      <c r="D451" s="19">
        <v>71.650000000000006</v>
      </c>
      <c r="E451" s="19">
        <v>3.81</v>
      </c>
      <c r="F451" s="20">
        <v>5686.67</v>
      </c>
      <c r="H451" s="23">
        <f t="shared" si="42"/>
        <v>-1.0133154677162692E-2</v>
      </c>
      <c r="I451" s="23">
        <f t="shared" si="43"/>
        <v>1.0131401203487433E-2</v>
      </c>
      <c r="J451" s="23">
        <f t="shared" si="44"/>
        <v>-3.6156306494227186E-3</v>
      </c>
      <c r="K451" s="23">
        <f>E450/100/Inputs!$B$17-'Valuation and Bond'!$B$44*(E451-E450)/100+0.5*'Valuation and Bond'!$B$45*((E451-E450)/100)^2</f>
        <v>6.9084100269902757E-3</v>
      </c>
      <c r="L451" s="23">
        <f t="shared" si="45"/>
        <v>2.9222418695397989E-2</v>
      </c>
      <c r="M451" s="23">
        <f t="shared" si="46"/>
        <v>2.162126063644684E-3</v>
      </c>
      <c r="N451" s="23">
        <f>SUMPRODUCT(H451:K451,Portfolio!$B$23:$E$23)</f>
        <v>8.2275647597307455E-4</v>
      </c>
      <c r="O451" s="23">
        <f>SUMPRODUCT(H451:K451,Portfolio!$B$24:$E$24)</f>
        <v>1.5739837912921008E-3</v>
      </c>
      <c r="Q451" s="21">
        <f t="shared" si="47"/>
        <v>195.68506934009255</v>
      </c>
      <c r="R451" s="21">
        <f t="shared" si="48"/>
        <v>265.58331776573863</v>
      </c>
      <c r="S451" s="22">
        <f>Q451/MAX(Q$6:Q451)-1</f>
        <v>-9.4184531456460441E-2</v>
      </c>
      <c r="T451" s="22">
        <f>R451/MAX(R$6:R451)-1</f>
        <v>-6.9989516945424657E-2</v>
      </c>
    </row>
    <row r="452" spans="1:20" x14ac:dyDescent="0.2">
      <c r="A452" s="18">
        <v>45786</v>
      </c>
      <c r="B452" s="19">
        <v>473.52</v>
      </c>
      <c r="C452" s="19">
        <v>172.27</v>
      </c>
      <c r="D452" s="19">
        <v>70.52</v>
      </c>
      <c r="E452" s="19">
        <v>3.94</v>
      </c>
      <c r="F452" s="20">
        <v>5659.91</v>
      </c>
      <c r="H452" s="23">
        <f t="shared" si="42"/>
        <v>1.5228426395939021E-3</v>
      </c>
      <c r="I452" s="23">
        <f t="shared" si="43"/>
        <v>4.7170384779041008E-2</v>
      </c>
      <c r="J452" s="23">
        <f t="shared" si="44"/>
        <v>-1.5771109560362984E-2</v>
      </c>
      <c r="K452" s="23">
        <f>E451/100/Inputs!$B$17-'Valuation and Bond'!$B$44*(E452-E451)/100+0.5*'Valuation and Bond'!$B$45*((E452-E451)/100)^2</f>
        <v>-4.937217347678895E-3</v>
      </c>
      <c r="L452" s="23">
        <f t="shared" si="45"/>
        <v>-4.7057416730705848E-3</v>
      </c>
      <c r="M452" s="23">
        <f t="shared" si="46"/>
        <v>9.4578106806714399E-3</v>
      </c>
      <c r="N452" s="23">
        <f>SUMPRODUCT(H452:K452,Portfolio!$B$23:$E$23)</f>
        <v>6.9962251276482583E-3</v>
      </c>
      <c r="O452" s="23">
        <f>SUMPRODUCT(H452:K452,Portfolio!$B$24:$E$24)</f>
        <v>-8.7490838617781822E-4</v>
      </c>
      <c r="Q452" s="21">
        <f t="shared" si="47"/>
        <v>197.53582167894524</v>
      </c>
      <c r="R452" s="21">
        <f t="shared" si="48"/>
        <v>264.33355127965604</v>
      </c>
      <c r="S452" s="22">
        <f>Q452/MAX(Q$6:Q452)-1</f>
        <v>-8.5617500243351907E-2</v>
      </c>
      <c r="T452" s="22">
        <f>R452/MAX(R$6:R452)-1</f>
        <v>-7.4365906031927054E-2</v>
      </c>
    </row>
    <row r="453" spans="1:20" x14ac:dyDescent="0.2">
      <c r="A453" s="18">
        <v>45793</v>
      </c>
      <c r="B453" s="19">
        <v>468.32</v>
      </c>
      <c r="C453" s="19">
        <v>188.5</v>
      </c>
      <c r="D453" s="19">
        <v>72</v>
      </c>
      <c r="E453" s="19">
        <v>4.0999999999999996</v>
      </c>
      <c r="F453" s="20">
        <v>5958.38</v>
      </c>
      <c r="H453" s="23">
        <f t="shared" si="42"/>
        <v>-1.0981584727149829E-2</v>
      </c>
      <c r="I453" s="23">
        <f t="shared" si="43"/>
        <v>9.4212573286120538E-2</v>
      </c>
      <c r="J453" s="23">
        <f t="shared" si="44"/>
        <v>2.0986954055587148E-2</v>
      </c>
      <c r="K453" s="23">
        <f>E452/100/Inputs!$B$17-'Valuation and Bond'!$B$44*(E453-E452)/100+0.5*'Valuation and Bond'!$B$45*((E453-E452)/100)^2</f>
        <v>-6.2152309782768653E-3</v>
      </c>
      <c r="L453" s="23">
        <f t="shared" si="45"/>
        <v>5.2734054075064929E-2</v>
      </c>
      <c r="M453" s="23">
        <f t="shared" si="46"/>
        <v>3.547514000617772E-2</v>
      </c>
      <c r="N453" s="23">
        <f>SUMPRODUCT(H453:K453,Portfolio!$B$23:$E$23)</f>
        <v>2.4500677909070248E-2</v>
      </c>
      <c r="O453" s="23">
        <f>SUMPRODUCT(H453:K453,Portfolio!$B$24:$E$24)</f>
        <v>1.5680407379069363E-2</v>
      </c>
      <c r="Q453" s="21">
        <f t="shared" si="47"/>
        <v>204.54343260924117</v>
      </c>
      <c r="R453" s="21">
        <f t="shared" si="48"/>
        <v>278.27293106669134</v>
      </c>
      <c r="S453" s="22">
        <f>Q453/MAX(Q$6:Q453)-1</f>
        <v>-5.3179653045286046E-2</v>
      </c>
      <c r="T453" s="22">
        <f>R453/MAX(R$6:R453)-1</f>
        <v>-2.5553467666891039E-2</v>
      </c>
    </row>
    <row r="454" spans="1:20" x14ac:dyDescent="0.2">
      <c r="A454" s="18">
        <v>45800</v>
      </c>
      <c r="B454" s="19">
        <v>468.88</v>
      </c>
      <c r="C454" s="19">
        <v>176.3</v>
      </c>
      <c r="D454" s="19">
        <v>71.77</v>
      </c>
      <c r="E454" s="19">
        <v>4.0999999999999996</v>
      </c>
      <c r="F454" s="20">
        <v>5802.82</v>
      </c>
      <c r="H454" s="23">
        <f t="shared" si="42"/>
        <v>1.1957635804578093E-3</v>
      </c>
      <c r="I454" s="23">
        <f t="shared" si="43"/>
        <v>-6.4721485411140534E-2</v>
      </c>
      <c r="J454" s="23">
        <f t="shared" si="44"/>
        <v>-3.1944444444444997E-3</v>
      </c>
      <c r="K454" s="23">
        <f>E453/100/Inputs!$B$17-'Valuation and Bond'!$B$44*(E454-E453)/100+0.5*'Valuation and Bond'!$B$45*((E454-E453)/100)^2</f>
        <v>7.8846153846153834E-4</v>
      </c>
      <c r="L454" s="23">
        <f t="shared" si="45"/>
        <v>-2.610776754755495E-2</v>
      </c>
      <c r="M454" s="23">
        <f t="shared" si="46"/>
        <v>-2.2120084203573431E-2</v>
      </c>
      <c r="N454" s="23">
        <f>SUMPRODUCT(H454:K454,Portfolio!$B$23:$E$23)</f>
        <v>-1.648292618416642E-2</v>
      </c>
      <c r="O454" s="23">
        <f>SUMPRODUCT(H454:K454,Portfolio!$B$24:$E$24)</f>
        <v>-9.1815644608627314E-3</v>
      </c>
      <c r="Q454" s="21">
        <f t="shared" si="47"/>
        <v>200.01891465663678</v>
      </c>
      <c r="R454" s="21">
        <f t="shared" si="48"/>
        <v>271.00784606762539</v>
      </c>
      <c r="S454" s="22">
        <f>Q454/MAX(Q$6:Q454)-1</f>
        <v>-7.4123398845581057E-2</v>
      </c>
      <c r="T454" s="22">
        <f>R454/MAX(R$6:R454)-1</f>
        <v>-5.0994091220564863E-2</v>
      </c>
    </row>
    <row r="455" spans="1:20" x14ac:dyDescent="0.2">
      <c r="A455" s="18">
        <v>45807</v>
      </c>
      <c r="B455" s="19">
        <v>482.38</v>
      </c>
      <c r="C455" s="19">
        <v>182.85</v>
      </c>
      <c r="D455" s="19">
        <v>72.099999999999994</v>
      </c>
      <c r="E455" s="19">
        <v>4.01</v>
      </c>
      <c r="F455" s="20">
        <v>5911.69</v>
      </c>
      <c r="H455" s="23">
        <f t="shared" ref="H455:H518" si="49">B455/B454-1</f>
        <v>2.8792015014502681E-2</v>
      </c>
      <c r="I455" s="23">
        <f t="shared" ref="I455:I518" si="50">C455/C454-1</f>
        <v>3.7152580828133663E-2</v>
      </c>
      <c r="J455" s="23">
        <f t="shared" ref="J455:J518" si="51">D455/D454-1</f>
        <v>4.5980214574334877E-3</v>
      </c>
      <c r="K455" s="23">
        <f>E454/100/Inputs!$B$17-'Valuation and Bond'!$B$44*(E455-E454)/100+0.5*'Valuation and Bond'!$B$45*((E455-E454)/100)^2</f>
        <v>4.7361702263648319E-3</v>
      </c>
      <c r="L455" s="23">
        <f t="shared" ref="L455:L518" si="52">F455/F454-1</f>
        <v>1.8761567651589983E-2</v>
      </c>
      <c r="M455" s="23">
        <f t="shared" ref="M455:M518" si="53">SUMPRODUCT(H455:K455,$H$4:$K$4)</f>
        <v>1.8574359949862482E-2</v>
      </c>
      <c r="N455" s="23">
        <f>SUMPRODUCT(H455:K455,Portfolio!$B$23:$E$23)</f>
        <v>1.8819696881608665E-2</v>
      </c>
      <c r="O455" s="23">
        <f>SUMPRODUCT(H455:K455,Portfolio!$B$24:$E$24)</f>
        <v>1.2082110395192948E-2</v>
      </c>
      <c r="Q455" s="21">
        <f t="shared" ref="Q455:Q518" si="54">Q454*(1+M455)</f>
        <v>203.73413797424996</v>
      </c>
      <c r="R455" s="21">
        <f t="shared" ref="R455:R518" si="55">R454*(1+L455)</f>
        <v>276.09237810573484</v>
      </c>
      <c r="S455" s="22">
        <f>Q455/MAX(Q$6:Q455)-1</f>
        <v>-5.6925833586583652E-2</v>
      </c>
      <c r="T455" s="22">
        <f>R455/MAX(R$6:R455)-1</f>
        <v>-3.3189252661240842E-2</v>
      </c>
    </row>
    <row r="456" spans="1:20" x14ac:dyDescent="0.2">
      <c r="A456" s="18">
        <v>45814</v>
      </c>
      <c r="B456" s="19">
        <v>481.69</v>
      </c>
      <c r="C456" s="19">
        <v>192.42</v>
      </c>
      <c r="D456" s="19">
        <v>71.349999999999994</v>
      </c>
      <c r="E456" s="19">
        <v>4.0199999999999996</v>
      </c>
      <c r="F456" s="20">
        <v>6000.36</v>
      </c>
      <c r="H456" s="23">
        <f t="shared" si="49"/>
        <v>-1.430407562502567E-3</v>
      </c>
      <c r="I456" s="23">
        <f t="shared" si="50"/>
        <v>5.2337981952419899E-2</v>
      </c>
      <c r="J456" s="23">
        <f t="shared" si="51"/>
        <v>-1.0402219140083213E-2</v>
      </c>
      <c r="K456" s="23">
        <f>E455/100/Inputs!$B$17-'Valuation and Bond'!$B$44*(E456-E455)/100+0.5*'Valuation and Bond'!$B$45*((E456-E455)/100)^2</f>
        <v>3.3365018481107248E-4</v>
      </c>
      <c r="L456" s="23">
        <f t="shared" si="52"/>
        <v>1.4999095013439545E-2</v>
      </c>
      <c r="M456" s="23">
        <f t="shared" si="53"/>
        <v>1.3637986119451105E-2</v>
      </c>
      <c r="N456" s="23">
        <f>SUMPRODUCT(H456:K456,Portfolio!$B$23:$E$23)</f>
        <v>1.0209751358661298E-2</v>
      </c>
      <c r="O456" s="23">
        <f>SUMPRODUCT(H456:K456,Portfolio!$B$24:$E$24)</f>
        <v>3.3553977268720573E-3</v>
      </c>
      <c r="Q456" s="21">
        <f t="shared" si="54"/>
        <v>206.51266132000111</v>
      </c>
      <c r="R456" s="21">
        <f t="shared" si="55"/>
        <v>280.23351391742921</v>
      </c>
      <c r="S456" s="22">
        <f>Q456/MAX(Q$6:Q456)-1</f>
        <v>-4.4064201195424646E-2</v>
      </c>
      <c r="T456" s="22">
        <f>R456/MAX(R$6:R456)-1</f>
        <v>-1.8687966401892298E-2</v>
      </c>
    </row>
    <row r="457" spans="1:20" x14ac:dyDescent="0.2">
      <c r="A457" s="18">
        <v>45821</v>
      </c>
      <c r="B457" s="19">
        <v>486.45</v>
      </c>
      <c r="C457" s="19">
        <v>195</v>
      </c>
      <c r="D457" s="19">
        <v>71.02</v>
      </c>
      <c r="E457" s="19">
        <v>4.04</v>
      </c>
      <c r="F457" s="20">
        <v>5976.97</v>
      </c>
      <c r="H457" s="23">
        <f t="shared" si="49"/>
        <v>9.8818742344661814E-3</v>
      </c>
      <c r="I457" s="23">
        <f t="shared" si="50"/>
        <v>1.3408169628936761E-2</v>
      </c>
      <c r="J457" s="23">
        <f t="shared" si="51"/>
        <v>-4.6250875963559368E-3</v>
      </c>
      <c r="K457" s="23">
        <f>E456/100/Inputs!$B$17-'Valuation and Bond'!$B$44*(E457-E456)/100+0.5*'Valuation and Bond'!$B$45*((E457-E456)/100)^2</f>
        <v>-1.0170427214603525E-4</v>
      </c>
      <c r="L457" s="23">
        <f t="shared" si="52"/>
        <v>-3.8980994473664099E-3</v>
      </c>
      <c r="M457" s="23">
        <f t="shared" si="53"/>
        <v>4.1527363954165647E-3</v>
      </c>
      <c r="N457" s="23">
        <f>SUMPRODUCT(H457:K457,Portfolio!$B$23:$E$23)</f>
        <v>4.6408129987252425E-3</v>
      </c>
      <c r="O457" s="23">
        <f>SUMPRODUCT(H457:K457,Portfolio!$B$24:$E$24)</f>
        <v>1.441816369949748E-3</v>
      </c>
      <c r="Q457" s="21">
        <f t="shared" si="54"/>
        <v>207.37025396477901</v>
      </c>
      <c r="R457" s="21">
        <f t="shared" si="55"/>
        <v>279.14113581169414</v>
      </c>
      <c r="S457" s="22">
        <f>Q457/MAX(Q$6:Q457)-1</f>
        <v>-4.0094451812047294E-2</v>
      </c>
      <c r="T457" s="22">
        <f>R457/MAX(R$6:R457)-1</f>
        <v>-2.25132182977551E-2</v>
      </c>
    </row>
    <row r="458" spans="1:20" x14ac:dyDescent="0.2">
      <c r="A458" s="18">
        <v>45828</v>
      </c>
      <c r="B458" s="19">
        <v>470.56</v>
      </c>
      <c r="C458" s="19">
        <v>198.2</v>
      </c>
      <c r="D458" s="19">
        <v>68.84</v>
      </c>
      <c r="E458" s="19">
        <v>3.99</v>
      </c>
      <c r="F458" s="20">
        <v>5967.84</v>
      </c>
      <c r="H458" s="23">
        <f t="shared" si="49"/>
        <v>-3.2665227669853025E-2</v>
      </c>
      <c r="I458" s="23">
        <f t="shared" si="50"/>
        <v>1.6410256410256396E-2</v>
      </c>
      <c r="J458" s="23">
        <f t="shared" si="51"/>
        <v>-3.0695578710222327E-2</v>
      </c>
      <c r="K458" s="23">
        <f>E457/100/Inputs!$B$17-'Valuation and Bond'!$B$44*(E458-E457)/100+0.5*'Valuation and Bond'!$B$45*((E458-E457)/100)^2</f>
        <v>2.9678332955764019E-3</v>
      </c>
      <c r="L458" s="23">
        <f t="shared" si="52"/>
        <v>-1.5275298353514266E-3</v>
      </c>
      <c r="M458" s="23">
        <f t="shared" si="53"/>
        <v>-8.6789492064556703E-3</v>
      </c>
      <c r="N458" s="23">
        <f>SUMPRODUCT(H458:K458,Portfolio!$B$23:$E$23)</f>
        <v>-1.0995679168560639E-2</v>
      </c>
      <c r="O458" s="23">
        <f>SUMPRODUCT(H458:K458,Portfolio!$B$24:$E$24)</f>
        <v>-1.124728908884785E-2</v>
      </c>
      <c r="Q458" s="21">
        <f t="shared" si="54"/>
        <v>205.57049806368889</v>
      </c>
      <c r="R458" s="21">
        <f t="shared" si="55"/>
        <v>278.71473939846788</v>
      </c>
      <c r="S458" s="22">
        <f>Q458/MAX(Q$6:Q458)-1</f>
        <v>-4.8425423307765447E-2</v>
      </c>
      <c r="T458" s="22">
        <f>R458/MAX(R$6:R458)-1</f>
        <v>-2.4006358520466953E-2</v>
      </c>
    </row>
    <row r="459" spans="1:20" x14ac:dyDescent="0.2">
      <c r="A459" s="18">
        <v>45835</v>
      </c>
      <c r="B459" s="19">
        <v>458.59</v>
      </c>
      <c r="C459" s="19">
        <v>207.08</v>
      </c>
      <c r="D459" s="19">
        <v>70.33</v>
      </c>
      <c r="E459" s="19">
        <v>3.84</v>
      </c>
      <c r="F459" s="20">
        <v>6173.07</v>
      </c>
      <c r="H459" s="23">
        <f t="shared" si="49"/>
        <v>-2.5437776266576062E-2</v>
      </c>
      <c r="I459" s="23">
        <f t="shared" si="50"/>
        <v>4.4803229061554095E-2</v>
      </c>
      <c r="J459" s="23">
        <f t="shared" si="51"/>
        <v>2.1644392794886613E-2</v>
      </c>
      <c r="K459" s="23">
        <f>E458/100/Inputs!$B$17-'Valuation and Bond'!$B$44*(E459-E458)/100+0.5*'Valuation and Bond'!$B$45*((E459-E458)/100)^2</f>
        <v>7.3569979079647942E-3</v>
      </c>
      <c r="L459" s="23">
        <f t="shared" si="52"/>
        <v>3.4389326791602892E-2</v>
      </c>
      <c r="M459" s="23">
        <f t="shared" si="53"/>
        <v>2.0190942384858714E-2</v>
      </c>
      <c r="N459" s="23">
        <f>SUMPRODUCT(H459:K459,Portfolio!$B$23:$E$23)</f>
        <v>1.2091710874457359E-2</v>
      </c>
      <c r="O459" s="23">
        <f>SUMPRODUCT(H459:K459,Portfolio!$B$24:$E$24)</f>
        <v>1.2926773169802121E-2</v>
      </c>
      <c r="Q459" s="21">
        <f t="shared" si="54"/>
        <v>209.72116014611956</v>
      </c>
      <c r="R459" s="21">
        <f t="shared" si="55"/>
        <v>288.29955165327823</v>
      </c>
      <c r="S459" s="22">
        <f>Q459/MAX(Q$6:Q459)-1</f>
        <v>-2.9212235854876201E-2</v>
      </c>
      <c r="T459" s="22">
        <f>R459/MAX(R$6:R459)-1</f>
        <v>0</v>
      </c>
    </row>
    <row r="460" spans="1:20" x14ac:dyDescent="0.2">
      <c r="A460" s="18">
        <v>45842</v>
      </c>
      <c r="B460" s="19">
        <v>462.52</v>
      </c>
      <c r="C460" s="19">
        <v>216.02</v>
      </c>
      <c r="D460" s="19">
        <v>71.349999999999994</v>
      </c>
      <c r="E460" s="19">
        <v>3.86</v>
      </c>
      <c r="F460" s="20">
        <v>6279.35</v>
      </c>
      <c r="H460" s="23">
        <f t="shared" si="49"/>
        <v>8.5697463965634935E-3</v>
      </c>
      <c r="I460" s="23">
        <f t="shared" si="50"/>
        <v>4.317172107398104E-2</v>
      </c>
      <c r="J460" s="23">
        <f t="shared" si="51"/>
        <v>1.4503057016920229E-2</v>
      </c>
      <c r="K460" s="23">
        <f>E459/100/Inputs!$B$17-'Valuation and Bond'!$B$44*(E460-E459)/100+0.5*'Valuation and Bond'!$B$45*((E460-E459)/100)^2</f>
        <v>-1.3631965676140043E-4</v>
      </c>
      <c r="L460" s="23">
        <f t="shared" si="52"/>
        <v>1.721671712778261E-2</v>
      </c>
      <c r="M460" s="23">
        <f t="shared" si="53"/>
        <v>2.0249677163816704E-2</v>
      </c>
      <c r="N460" s="23">
        <f>SUMPRODUCT(H460:K460,Portfolio!$B$23:$E$23)</f>
        <v>1.6527051207675839E-2</v>
      </c>
      <c r="O460" s="23">
        <f>SUMPRODUCT(H460:K460,Portfolio!$B$24:$E$24)</f>
        <v>1.1678233729638445E-2</v>
      </c>
      <c r="Q460" s="21">
        <f t="shared" si="54"/>
        <v>213.96794593349961</v>
      </c>
      <c r="R460" s="21">
        <f t="shared" si="55"/>
        <v>293.26312348215924</v>
      </c>
      <c r="S460" s="22">
        <f>Q460/MAX(Q$6:Q460)-1</f>
        <v>-9.5540970363537925E-3</v>
      </c>
      <c r="T460" s="22">
        <f>R460/MAX(R$6:R460)-1</f>
        <v>0</v>
      </c>
    </row>
    <row r="461" spans="1:20" x14ac:dyDescent="0.2">
      <c r="A461" s="18">
        <v>45849</v>
      </c>
      <c r="B461" s="19">
        <v>467.51</v>
      </c>
      <c r="C461" s="19">
        <v>221.25</v>
      </c>
      <c r="D461" s="19">
        <v>69.87</v>
      </c>
      <c r="E461" s="19">
        <v>3.96</v>
      </c>
      <c r="F461" s="20">
        <v>6259.75</v>
      </c>
      <c r="H461" s="23">
        <f t="shared" si="49"/>
        <v>1.0788722649831328E-2</v>
      </c>
      <c r="I461" s="23">
        <f t="shared" si="50"/>
        <v>2.421072122951573E-2</v>
      </c>
      <c r="J461" s="23">
        <f t="shared" si="51"/>
        <v>-2.0742817098808541E-2</v>
      </c>
      <c r="K461" s="23">
        <f>E460/100/Inputs!$B$17-'Valuation and Bond'!$B$44*(E461-E460)/100+0.5*'Valuation and Bond'!$B$45*((E461-E460)/100)^2</f>
        <v>-3.6225531853018877E-3</v>
      </c>
      <c r="L461" s="23">
        <f t="shared" si="52"/>
        <v>-3.1213421771362215E-3</v>
      </c>
      <c r="M461" s="23">
        <f t="shared" si="53"/>
        <v>1.693832348934583E-3</v>
      </c>
      <c r="N461" s="23">
        <f>SUMPRODUCT(H461:K461,Portfolio!$B$23:$E$23)</f>
        <v>2.6585183988091575E-3</v>
      </c>
      <c r="O461" s="23">
        <f>SUMPRODUCT(H461:K461,Portfolio!$B$24:$E$24)</f>
        <v>-3.8784475851360678E-3</v>
      </c>
      <c r="Q461" s="21">
        <f t="shared" si="54"/>
        <v>214.33037176195685</v>
      </c>
      <c r="R461" s="21">
        <f t="shared" si="55"/>
        <v>292.34774892583567</v>
      </c>
      <c r="S461" s="22">
        <f>Q461/MAX(Q$6:Q461)-1</f>
        <v>-7.8764477260443444E-3</v>
      </c>
      <c r="T461" s="22">
        <f>R461/MAX(R$6:R461)-1</f>
        <v>-3.1213421771362215E-3</v>
      </c>
    </row>
    <row r="462" spans="1:20" x14ac:dyDescent="0.2">
      <c r="A462" s="18">
        <v>45856</v>
      </c>
      <c r="B462" s="19">
        <v>463.96</v>
      </c>
      <c r="C462" s="19">
        <v>216.62</v>
      </c>
      <c r="D462" s="19">
        <v>69.849999999999994</v>
      </c>
      <c r="E462" s="19">
        <v>4</v>
      </c>
      <c r="F462" s="20">
        <v>6296.79</v>
      </c>
      <c r="H462" s="23">
        <f t="shared" si="49"/>
        <v>-7.5934204615943912E-3</v>
      </c>
      <c r="I462" s="23">
        <f t="shared" si="50"/>
        <v>-2.0926553672316328E-2</v>
      </c>
      <c r="J462" s="23">
        <f t="shared" si="51"/>
        <v>-2.8624588521553029E-4</v>
      </c>
      <c r="K462" s="23">
        <f>E461/100/Inputs!$B$17-'Valuation and Bond'!$B$44*(E462-E461)/100+0.5*'Valuation and Bond'!$B$45*((E462-E461)/100)^2</f>
        <v>-9.8711941905690491E-4</v>
      </c>
      <c r="L462" s="23">
        <f t="shared" si="52"/>
        <v>5.9171692160229217E-3</v>
      </c>
      <c r="M462" s="23">
        <f t="shared" si="53"/>
        <v>-8.2059227930972676E-3</v>
      </c>
      <c r="N462" s="23">
        <f>SUMPRODUCT(H462:K462,Portfolio!$B$23:$E$23)</f>
        <v>-7.4483348595457887E-3</v>
      </c>
      <c r="O462" s="23">
        <f>SUMPRODUCT(H462:K462,Portfolio!$B$24:$E$24)</f>
        <v>-4.2412668526594609E-3</v>
      </c>
      <c r="Q462" s="21">
        <f t="shared" si="54"/>
        <v>212.5715932790624</v>
      </c>
      <c r="R462" s="21">
        <f t="shared" si="55"/>
        <v>294.07762002615323</v>
      </c>
      <c r="S462" s="22">
        <f>Q462/MAX(Q$6:Q462)-1</f>
        <v>-1.6017736997217757E-2</v>
      </c>
      <c r="T462" s="22">
        <f>R462/MAX(R$6:R462)-1</f>
        <v>0</v>
      </c>
    </row>
    <row r="463" spans="1:20" x14ac:dyDescent="0.2">
      <c r="A463" s="18">
        <v>45863</v>
      </c>
      <c r="B463" s="19">
        <v>421.17</v>
      </c>
      <c r="C463" s="19">
        <v>184.99</v>
      </c>
      <c r="D463" s="19">
        <v>69.17</v>
      </c>
      <c r="E463" s="19">
        <v>3.93</v>
      </c>
      <c r="F463" s="20">
        <v>6388.64</v>
      </c>
      <c r="H463" s="23">
        <f t="shared" si="49"/>
        <v>-9.2227778256746218E-2</v>
      </c>
      <c r="I463" s="23">
        <f t="shared" si="50"/>
        <v>-0.14601606499861508</v>
      </c>
      <c r="J463" s="23">
        <f t="shared" si="51"/>
        <v>-9.7351467430206728E-3</v>
      </c>
      <c r="K463" s="23">
        <f>E462/100/Inputs!$B$17-'Valuation and Bond'!$B$44*(E463-E462)/100+0.5*'Valuation and Bond'!$B$45*((E463-E462)/100)^2</f>
        <v>3.8380879675838221E-3</v>
      </c>
      <c r="L463" s="23">
        <f t="shared" si="52"/>
        <v>1.4586797399945173E-2</v>
      </c>
      <c r="M463" s="23">
        <f t="shared" si="53"/>
        <v>-6.2923476500814562E-2</v>
      </c>
      <c r="N463" s="23">
        <f>SUMPRODUCT(H463:K463,Portfolio!$B$23:$E$23)</f>
        <v>-6.1035225507699541E-2</v>
      </c>
      <c r="O463" s="23">
        <f>SUMPRODUCT(H463:K463,Portfolio!$B$24:$E$24)</f>
        <v>-3.2982746637938792E-2</v>
      </c>
      <c r="Q463" s="21">
        <f t="shared" si="54"/>
        <v>199.19584962462662</v>
      </c>
      <c r="R463" s="21">
        <f t="shared" si="55"/>
        <v>298.36727068933277</v>
      </c>
      <c r="S463" s="22">
        <f>Q463/MAX(Q$6:Q463)-1</f>
        <v>-7.7933321800491617E-2</v>
      </c>
      <c r="T463" s="22">
        <f>R463/MAX(R$6:R463)-1</f>
        <v>0</v>
      </c>
    </row>
    <row r="464" spans="1:20" x14ac:dyDescent="0.2">
      <c r="A464" s="18">
        <v>45870</v>
      </c>
      <c r="B464" s="19">
        <v>421.01</v>
      </c>
      <c r="C464" s="19">
        <v>180.86</v>
      </c>
      <c r="D464" s="19">
        <v>68.86</v>
      </c>
      <c r="E464" s="19">
        <v>3.91</v>
      </c>
      <c r="F464" s="20">
        <v>6238.01</v>
      </c>
      <c r="H464" s="23">
        <f t="shared" si="49"/>
        <v>-3.7989410451844119E-4</v>
      </c>
      <c r="I464" s="23">
        <f t="shared" si="50"/>
        <v>-2.2325531109789742E-2</v>
      </c>
      <c r="J464" s="23">
        <f t="shared" si="51"/>
        <v>-4.4817117247362148E-3</v>
      </c>
      <c r="K464" s="23">
        <f>E463/100/Inputs!$B$17-'Valuation and Bond'!$B$44*(E464-E463)/100+0.5*'Valuation and Bond'!$B$45*((E464-E463)/100)^2</f>
        <v>1.631454935842681E-3</v>
      </c>
      <c r="L464" s="23">
        <f t="shared" si="52"/>
        <v>-2.3577788073831041E-2</v>
      </c>
      <c r="M464" s="23">
        <f t="shared" si="53"/>
        <v>-8.6040479550092454E-3</v>
      </c>
      <c r="N464" s="23">
        <f>SUMPRODUCT(H464:K464,Portfolio!$B$23:$E$23)</f>
        <v>-6.3889205008004291E-3</v>
      </c>
      <c r="O464" s="23">
        <f>SUMPRODUCT(H464:K464,Portfolio!$B$24:$E$24)</f>
        <v>-3.8702424558396723E-3</v>
      </c>
      <c r="Q464" s="21">
        <f t="shared" si="54"/>
        <v>197.48195898201752</v>
      </c>
      <c r="R464" s="21">
        <f t="shared" si="55"/>
        <v>291.33243041285232</v>
      </c>
      <c r="S464" s="22">
        <f>Q464/MAX(Q$6:Q464)-1</f>
        <v>-8.5866827717436256E-2</v>
      </c>
      <c r="T464" s="22">
        <f>R464/MAX(R$6:R464)-1</f>
        <v>-2.3577788073831041E-2</v>
      </c>
    </row>
    <row r="465" spans="1:20" x14ac:dyDescent="0.2">
      <c r="A465" s="18">
        <v>45877</v>
      </c>
      <c r="B465" s="19">
        <v>425.63</v>
      </c>
      <c r="C465" s="19">
        <v>187.22</v>
      </c>
      <c r="D465" s="19">
        <v>70.34</v>
      </c>
      <c r="E465" s="19">
        <v>3.78</v>
      </c>
      <c r="F465" s="20">
        <v>6389.45</v>
      </c>
      <c r="H465" s="23">
        <f t="shared" si="49"/>
        <v>1.0973611078121781E-2</v>
      </c>
      <c r="I465" s="23">
        <f t="shared" si="50"/>
        <v>3.5165321242950354E-2</v>
      </c>
      <c r="J465" s="23">
        <f t="shared" si="51"/>
        <v>2.1492884112692456E-2</v>
      </c>
      <c r="K465" s="23">
        <f>E464/100/Inputs!$B$17-'Valuation and Bond'!$B$44*(E465-E464)/100+0.5*'Valuation and Bond'!$B$45*((E465-E464)/100)^2</f>
        <v>6.4600482734784043E-3</v>
      </c>
      <c r="L465" s="23">
        <f t="shared" si="52"/>
        <v>2.4276972944897501E-2</v>
      </c>
      <c r="M465" s="23">
        <f t="shared" si="53"/>
        <v>2.1604417520754138E-2</v>
      </c>
      <c r="N465" s="23">
        <f>SUMPRODUCT(H465:K465,Portfolio!$B$23:$E$23)</f>
        <v>1.8522966176810748E-2</v>
      </c>
      <c r="O465" s="23">
        <f>SUMPRODUCT(H465:K465,Portfolio!$B$24:$E$24)</f>
        <v>1.5934046158896823E-2</v>
      </c>
      <c r="Q465" s="21">
        <f t="shared" si="54"/>
        <v>201.74844167668147</v>
      </c>
      <c r="R465" s="21">
        <f t="shared" si="55"/>
        <v>298.40509994395637</v>
      </c>
      <c r="S465" s="22">
        <f>Q465/MAX(Q$6:Q465)-1</f>
        <v>-6.6117512993872363E-2</v>
      </c>
      <c r="T465" s="22">
        <f>R465/MAX(R$6:R465)-1</f>
        <v>0</v>
      </c>
    </row>
    <row r="466" spans="1:20" x14ac:dyDescent="0.2">
      <c r="A466" s="18">
        <v>45884</v>
      </c>
      <c r="B466" s="19">
        <v>437.56</v>
      </c>
      <c r="C466" s="19">
        <v>194.57</v>
      </c>
      <c r="D466" s="19">
        <v>69.92</v>
      </c>
      <c r="E466" s="19">
        <v>3.82</v>
      </c>
      <c r="F466" s="20">
        <v>6449.8</v>
      </c>
      <c r="H466" s="23">
        <f t="shared" si="49"/>
        <v>2.8029039306439962E-2</v>
      </c>
      <c r="I466" s="23">
        <f t="shared" si="50"/>
        <v>3.9258626215147974E-2</v>
      </c>
      <c r="J466" s="23">
        <f t="shared" si="51"/>
        <v>-5.9709980096673831E-3</v>
      </c>
      <c r="K466" s="23">
        <f>E465/100/Inputs!$B$17-'Valuation and Bond'!$B$44*(E466-E465)/100+0.5*'Valuation and Bond'!$B$45*((E466-E465)/100)^2</f>
        <v>-1.0217348036722896E-3</v>
      </c>
      <c r="L466" s="23">
        <f t="shared" si="52"/>
        <v>9.4452574165226899E-3</v>
      </c>
      <c r="M466" s="23">
        <f t="shared" si="53"/>
        <v>1.4449635570104927E-2</v>
      </c>
      <c r="N466" s="23">
        <f>SUMPRODUCT(H466:K466,Portfolio!$B$23:$E$23)</f>
        <v>1.5073733177062065E-2</v>
      </c>
      <c r="O466" s="23">
        <f>SUMPRODUCT(H466:K466,Portfolio!$B$24:$E$24)</f>
        <v>6.3797143301424436E-3</v>
      </c>
      <c r="Q466" s="21">
        <f t="shared" si="54"/>
        <v>204.66363313574607</v>
      </c>
      <c r="R466" s="21">
        <f t="shared" si="55"/>
        <v>301.22361292733024</v>
      </c>
      <c r="S466" s="22">
        <f>Q466/MAX(Q$6:Q466)-1</f>
        <v>-5.2623251391330617E-2</v>
      </c>
      <c r="T466" s="22">
        <f>R466/MAX(R$6:R466)-1</f>
        <v>0</v>
      </c>
    </row>
    <row r="467" spans="1:20" x14ac:dyDescent="0.2">
      <c r="A467" s="18">
        <v>45891</v>
      </c>
      <c r="B467" s="19">
        <v>446.2</v>
      </c>
      <c r="C467" s="19">
        <v>206.06</v>
      </c>
      <c r="D467" s="19">
        <v>70.13</v>
      </c>
      <c r="E467" s="19">
        <v>3.82</v>
      </c>
      <c r="F467" s="20">
        <v>6466.91</v>
      </c>
      <c r="H467" s="23">
        <f t="shared" si="49"/>
        <v>1.974586342444451E-2</v>
      </c>
      <c r="I467" s="23">
        <f t="shared" si="50"/>
        <v>5.9053297013928141E-2</v>
      </c>
      <c r="J467" s="23">
        <f t="shared" si="51"/>
        <v>3.0034324942791457E-3</v>
      </c>
      <c r="K467" s="23">
        <f>E466/100/Inputs!$B$17-'Valuation and Bond'!$B$44*(E467-E466)/100+0.5*'Valuation and Bond'!$B$45*((E467-E466)/100)^2</f>
        <v>7.3461538461538456E-4</v>
      </c>
      <c r="L467" s="23">
        <f t="shared" si="52"/>
        <v>2.65279543551733E-3</v>
      </c>
      <c r="M467" s="23">
        <f t="shared" si="53"/>
        <v>2.3264496462077473E-2</v>
      </c>
      <c r="N467" s="23">
        <f>SUMPRODUCT(H467:K467,Portfolio!$B$23:$E$23)</f>
        <v>2.0634302079316796E-2</v>
      </c>
      <c r="O467" s="23">
        <f>SUMPRODUCT(H467:K467,Portfolio!$B$24:$E$24)</f>
        <v>1.1675007059713482E-2</v>
      </c>
      <c r="Q467" s="21">
        <f t="shared" si="54"/>
        <v>209.42502950474855</v>
      </c>
      <c r="R467" s="21">
        <f t="shared" si="55"/>
        <v>302.02269755277388</v>
      </c>
      <c r="S467" s="22">
        <f>Q467/MAX(Q$6:Q467)-1</f>
        <v>-3.0583008375069776E-2</v>
      </c>
      <c r="T467" s="22">
        <f>R467/MAX(R$6:R467)-1</f>
        <v>0</v>
      </c>
    </row>
    <row r="468" spans="1:20" x14ac:dyDescent="0.2">
      <c r="A468" s="18">
        <v>45898</v>
      </c>
      <c r="B468" s="19">
        <v>455.63</v>
      </c>
      <c r="C468" s="19">
        <v>202.48</v>
      </c>
      <c r="D468" s="19">
        <v>68.989999999999995</v>
      </c>
      <c r="E468" s="19">
        <v>3.72</v>
      </c>
      <c r="F468" s="20">
        <v>6460.26</v>
      </c>
      <c r="H468" s="23">
        <f t="shared" si="49"/>
        <v>2.1134020618556626E-2</v>
      </c>
      <c r="I468" s="23">
        <f t="shared" si="50"/>
        <v>-1.737358051053095E-2</v>
      </c>
      <c r="J468" s="23">
        <f t="shared" si="51"/>
        <v>-1.6255525452730679E-2</v>
      </c>
      <c r="K468" s="23">
        <f>E467/100/Inputs!$B$17-'Valuation and Bond'!$B$44*(E468-E467)/100+0.5*'Valuation and Bond'!$B$45*((E468-E467)/100)^2</f>
        <v>5.1220890084877303E-3</v>
      </c>
      <c r="L468" s="23">
        <f t="shared" si="52"/>
        <v>-1.0283118212561781E-3</v>
      </c>
      <c r="M468" s="23">
        <f t="shared" si="53"/>
        <v>-7.3948458751155188E-3</v>
      </c>
      <c r="N468" s="23">
        <f>SUMPRODUCT(H468:K468,Portfolio!$B$23:$E$23)</f>
        <v>-1.8432490840543183E-3</v>
      </c>
      <c r="O468" s="23">
        <f>SUMPRODUCT(H468:K468,Portfolio!$B$24:$E$24)</f>
        <v>-3.0329976693071374E-3</v>
      </c>
      <c r="Q468" s="21">
        <f t="shared" si="54"/>
        <v>207.87636368916941</v>
      </c>
      <c r="R468" s="21">
        <f t="shared" si="55"/>
        <v>301.71212404259268</v>
      </c>
      <c r="S468" s="22">
        <f>Q468/MAX(Q$6:Q468)-1</f>
        <v>-3.7751697616854263E-2</v>
      </c>
      <c r="T468" s="22">
        <f>R468/MAX(R$6:R468)-1</f>
        <v>-1.0283118212561781E-3</v>
      </c>
    </row>
    <row r="469" spans="1:20" x14ac:dyDescent="0.2">
      <c r="A469" s="18">
        <v>45905</v>
      </c>
      <c r="B469" s="19">
        <v>463.9</v>
      </c>
      <c r="C469" s="19">
        <v>187.93</v>
      </c>
      <c r="D469" s="19">
        <v>67.959999999999994</v>
      </c>
      <c r="E469" s="19">
        <v>3.67</v>
      </c>
      <c r="F469" s="20">
        <v>6481.5</v>
      </c>
      <c r="H469" s="23">
        <f t="shared" si="49"/>
        <v>1.8150692447819416E-2</v>
      </c>
      <c r="I469" s="23">
        <f t="shared" si="50"/>
        <v>-7.1858949032003072E-2</v>
      </c>
      <c r="J469" s="23">
        <f t="shared" si="51"/>
        <v>-1.4929699956515496E-2</v>
      </c>
      <c r="K469" s="23">
        <f>E468/100/Inputs!$B$17-'Valuation and Bond'!$B$44*(E469-E468)/100+0.5*'Valuation and Bond'!$B$45*((E469-E468)/100)^2</f>
        <v>2.90629483403796E-3</v>
      </c>
      <c r="L469" s="23">
        <f t="shared" si="52"/>
        <v>3.287793370545522E-3</v>
      </c>
      <c r="M469" s="23">
        <f t="shared" si="53"/>
        <v>-2.5766001199741331E-2</v>
      </c>
      <c r="N469" s="23">
        <f>SUMPRODUCT(H469:K469,Portfolio!$B$23:$E$23)</f>
        <v>-1.64329154266653E-2</v>
      </c>
      <c r="O469" s="23">
        <f>SUMPRODUCT(H469:K469,Portfolio!$B$24:$E$24)</f>
        <v>-1.1068672036969898E-2</v>
      </c>
      <c r="Q469" s="21">
        <f t="shared" si="54"/>
        <v>202.5202210529564</v>
      </c>
      <c r="R469" s="21">
        <f t="shared" si="55"/>
        <v>302.70409116383314</v>
      </c>
      <c r="S469" s="22">
        <f>Q469/MAX(Q$6:Q469)-1</f>
        <v>-6.2544988530507495E-2</v>
      </c>
      <c r="T469" s="22">
        <f>R469/MAX(R$6:R469)-1</f>
        <v>0</v>
      </c>
    </row>
    <row r="470" spans="1:20" x14ac:dyDescent="0.2">
      <c r="A470" s="18">
        <v>45912</v>
      </c>
      <c r="B470" s="19">
        <v>471.31</v>
      </c>
      <c r="C470" s="19">
        <v>182.6</v>
      </c>
      <c r="D470" s="19">
        <v>67.010000000000005</v>
      </c>
      <c r="E470" s="19">
        <v>3.6</v>
      </c>
      <c r="F470" s="20">
        <v>6584.29</v>
      </c>
      <c r="H470" s="23">
        <f t="shared" si="49"/>
        <v>1.5973270101314885E-2</v>
      </c>
      <c r="I470" s="23">
        <f t="shared" si="50"/>
        <v>-2.8361624008939601E-2</v>
      </c>
      <c r="J470" s="23">
        <f t="shared" si="51"/>
        <v>-1.3978811065332386E-2</v>
      </c>
      <c r="K470" s="23">
        <f>E469/100/Inputs!$B$17-'Valuation and Bond'!$B$44*(E470-E469)/100+0.5*'Valuation and Bond'!$B$45*((E470-E469)/100)^2</f>
        <v>3.7746264291222838E-3</v>
      </c>
      <c r="L470" s="23">
        <f t="shared" si="52"/>
        <v>1.5858983260047754E-2</v>
      </c>
      <c r="M470" s="23">
        <f t="shared" si="53"/>
        <v>-1.1205801083251072E-2</v>
      </c>
      <c r="N470" s="23">
        <f>SUMPRODUCT(H470:K470,Portfolio!$B$23:$E$23)</f>
        <v>-5.6481346359587049E-3</v>
      </c>
      <c r="O470" s="23">
        <f>SUMPRODUCT(H470:K470,Portfolio!$B$24:$E$24)</f>
        <v>-4.9208972389032796E-3</v>
      </c>
      <c r="Q470" s="21">
        <f t="shared" si="54"/>
        <v>200.25081974050093</v>
      </c>
      <c r="R470" s="21">
        <f t="shared" si="55"/>
        <v>307.50467027834833</v>
      </c>
      <c r="S470" s="22">
        <f>Q470/MAX(Q$6:Q470)-1</f>
        <v>-7.3049922913531518E-2</v>
      </c>
      <c r="T470" s="22">
        <f>R470/MAX(R$6:R470)-1</f>
        <v>0</v>
      </c>
    </row>
    <row r="471" spans="1:20" x14ac:dyDescent="0.2">
      <c r="A471" s="18">
        <v>45919</v>
      </c>
      <c r="B471" s="19">
        <v>472.94</v>
      </c>
      <c r="C471" s="19">
        <v>179.37</v>
      </c>
      <c r="D471" s="19">
        <v>66.430000000000007</v>
      </c>
      <c r="E471" s="19">
        <v>3.63</v>
      </c>
      <c r="F471" s="20">
        <v>6664.36</v>
      </c>
      <c r="H471" s="23">
        <f t="shared" si="49"/>
        <v>3.4584456090471782E-3</v>
      </c>
      <c r="I471" s="23">
        <f t="shared" si="50"/>
        <v>-1.7688937568455576E-2</v>
      </c>
      <c r="J471" s="23">
        <f t="shared" si="51"/>
        <v>-8.6554245634979932E-3</v>
      </c>
      <c r="K471" s="23">
        <f>E470/100/Inputs!$B$17-'Valuation and Bond'!$B$44*(E471-E470)/100+0.5*'Valuation and Bond'!$B$45*((E471-E470)/100)^2</f>
        <v>-6.1952490933276446E-4</v>
      </c>
      <c r="L471" s="23">
        <f t="shared" si="52"/>
        <v>1.216076448637593E-2</v>
      </c>
      <c r="M471" s="23">
        <f t="shared" si="53"/>
        <v>-8.4242161264387154E-3</v>
      </c>
      <c r="N471" s="23">
        <f>SUMPRODUCT(H471:K471,Portfolio!$B$23:$E$23)</f>
        <v>-5.876360358059789E-3</v>
      </c>
      <c r="O471" s="23">
        <f>SUMPRODUCT(H471:K471,Portfolio!$B$24:$E$24)</f>
        <v>-5.0756239584472118E-3</v>
      </c>
      <c r="Q471" s="21">
        <f t="shared" si="54"/>
        <v>198.56386355551044</v>
      </c>
      <c r="R471" s="21">
        <f t="shared" si="55"/>
        <v>311.24416215206401</v>
      </c>
      <c r="S471" s="22">
        <f>Q471/MAX(Q$6:Q471)-1</f>
        <v>-8.0858750701326865E-2</v>
      </c>
      <c r="T471" s="22">
        <f>R471/MAX(R$6:R471)-1</f>
        <v>0</v>
      </c>
    </row>
    <row r="472" spans="1:20" x14ac:dyDescent="0.2">
      <c r="A472" s="18">
        <v>45926</v>
      </c>
      <c r="B472" s="19">
        <v>487.44</v>
      </c>
      <c r="C472" s="19">
        <v>184.55</v>
      </c>
      <c r="D472" s="19">
        <v>65.67</v>
      </c>
      <c r="E472" s="19">
        <v>3.72</v>
      </c>
      <c r="F472" s="20">
        <v>6643.7</v>
      </c>
      <c r="H472" s="23">
        <f t="shared" si="49"/>
        <v>3.0659280246965848E-2</v>
      </c>
      <c r="I472" s="23">
        <f t="shared" si="50"/>
        <v>2.8878853765958779E-2</v>
      </c>
      <c r="J472" s="23">
        <f t="shared" si="51"/>
        <v>-1.1440614180340258E-2</v>
      </c>
      <c r="K472" s="23">
        <f>E471/100/Inputs!$B$17-'Valuation and Bond'!$B$44*(E472-E471)/100+0.5*'Valuation and Bond'!$B$45*((E472-E471)/100)^2</f>
        <v>-3.2313154403535342E-3</v>
      </c>
      <c r="L472" s="23">
        <f t="shared" si="52"/>
        <v>-3.1000726251282362E-3</v>
      </c>
      <c r="M472" s="23">
        <f t="shared" si="53"/>
        <v>9.0849060015538285E-3</v>
      </c>
      <c r="N472" s="23">
        <f>SUMPRODUCT(H472:K472,Portfolio!$B$23:$E$23)</f>
        <v>1.1216551098057708E-2</v>
      </c>
      <c r="O472" s="23">
        <f>SUMPRODUCT(H472:K472,Portfolio!$B$24:$E$24)</f>
        <v>2.6080792634241802E-3</v>
      </c>
      <c r="Q472" s="21">
        <f t="shared" si="54"/>
        <v>200.36779759121762</v>
      </c>
      <c r="R472" s="21">
        <f t="shared" si="55"/>
        <v>310.27928264524542</v>
      </c>
      <c r="S472" s="22">
        <f>Q472/MAX(Q$6:Q472)-1</f>
        <v>-7.2508438849297696E-2</v>
      </c>
      <c r="T472" s="22">
        <f>R472/MAX(R$6:R472)-1</f>
        <v>-3.1000726251282362E-3</v>
      </c>
    </row>
    <row r="473" spans="1:20" x14ac:dyDescent="0.2">
      <c r="A473" s="18">
        <v>45933</v>
      </c>
      <c r="B473" s="19">
        <v>504.49</v>
      </c>
      <c r="C473" s="19">
        <v>180.32</v>
      </c>
      <c r="D473" s="19">
        <v>66.650000000000006</v>
      </c>
      <c r="E473" s="19">
        <v>3.71</v>
      </c>
      <c r="F473" s="20">
        <v>6715.79</v>
      </c>
      <c r="H473" s="23">
        <f t="shared" si="49"/>
        <v>3.4978664040702379E-2</v>
      </c>
      <c r="I473" s="23">
        <f t="shared" si="50"/>
        <v>-2.2920617718775516E-2</v>
      </c>
      <c r="J473" s="23">
        <f t="shared" si="51"/>
        <v>1.492310035023614E-2</v>
      </c>
      <c r="K473" s="23">
        <f>E472/100/Inputs!$B$17-'Valuation and Bond'!$B$44*(E473-E472)/100+0.5*'Valuation and Bond'!$B$45*((E473-E472)/100)^2</f>
        <v>1.1531144041900365E-3</v>
      </c>
      <c r="L473" s="23">
        <f t="shared" si="52"/>
        <v>1.08508812860304E-2</v>
      </c>
      <c r="M473" s="23">
        <f t="shared" si="53"/>
        <v>2.3380383872398502E-3</v>
      </c>
      <c r="N473" s="23">
        <f>SUMPRODUCT(H473:K473,Portfolio!$B$23:$E$23)</f>
        <v>7.0335652690882598E-3</v>
      </c>
      <c r="O473" s="23">
        <f>SUMPRODUCT(H473:K473,Portfolio!$B$24:$E$24)</f>
        <v>6.9897598591816528E-3</v>
      </c>
      <c r="Q473" s="21">
        <f t="shared" si="54"/>
        <v>200.83626519355258</v>
      </c>
      <c r="R473" s="21">
        <f t="shared" si="55"/>
        <v>313.64608630674365</v>
      </c>
      <c r="S473" s="22">
        <f>Q473/MAX(Q$6:Q473)-1</f>
        <v>-7.0339927975486383E-2</v>
      </c>
      <c r="T473" s="22">
        <f>R473/MAX(R$6:R473)-1</f>
        <v>0</v>
      </c>
    </row>
    <row r="474" spans="1:20" x14ac:dyDescent="0.2">
      <c r="A474" s="18">
        <v>45940</v>
      </c>
      <c r="B474" s="19">
        <v>505.05</v>
      </c>
      <c r="C474" s="19">
        <v>171.7</v>
      </c>
      <c r="D474" s="19">
        <v>67.040000000000006</v>
      </c>
      <c r="E474" s="19">
        <v>3.71</v>
      </c>
      <c r="F474" s="20">
        <v>6552.51</v>
      </c>
      <c r="H474" s="23">
        <f t="shared" si="49"/>
        <v>1.1100319134174086E-3</v>
      </c>
      <c r="I474" s="23">
        <f t="shared" si="50"/>
        <v>-4.7803904170363842E-2</v>
      </c>
      <c r="J474" s="23">
        <f t="shared" si="51"/>
        <v>5.8514628657164725E-3</v>
      </c>
      <c r="K474" s="23">
        <f>E473/100/Inputs!$B$17-'Valuation and Bond'!$B$44*(E474-E473)/100+0.5*'Valuation and Bond'!$B$45*((E474-E473)/100)^2</f>
        <v>7.1346153846153846E-4</v>
      </c>
      <c r="L474" s="23">
        <f t="shared" si="52"/>
        <v>-2.4312850759180882E-2</v>
      </c>
      <c r="M474" s="23">
        <f t="shared" si="53"/>
        <v>-1.3510648122820644E-2</v>
      </c>
      <c r="N474" s="23">
        <f>SUMPRODUCT(H474:K474,Portfolio!$B$23:$E$23)</f>
        <v>-1.0032236963192106E-2</v>
      </c>
      <c r="O474" s="23">
        <f>SUMPRODUCT(H474:K474,Portfolio!$B$24:$E$24)</f>
        <v>-3.9188787105138836E-3</v>
      </c>
      <c r="Q474" s="21">
        <f t="shared" si="54"/>
        <v>198.122837084221</v>
      </c>
      <c r="R474" s="21">
        <f t="shared" si="55"/>
        <v>306.02045581916661</v>
      </c>
      <c r="S474" s="22">
        <f>Q474/MAX(Q$6:Q474)-1</f>
        <v>-8.2900238082445621E-2</v>
      </c>
      <c r="T474" s="22">
        <f>R474/MAX(R$6:R474)-1</f>
        <v>-2.4312850759180882E-2</v>
      </c>
    </row>
    <row r="475" spans="1:20" x14ac:dyDescent="0.2">
      <c r="A475" s="18">
        <v>45947</v>
      </c>
      <c r="B475" s="19">
        <v>495.15</v>
      </c>
      <c r="C475" s="19">
        <v>176.58</v>
      </c>
      <c r="D475" s="19">
        <v>68.44</v>
      </c>
      <c r="E475" s="19">
        <v>3.59</v>
      </c>
      <c r="F475" s="20">
        <v>6664.01</v>
      </c>
      <c r="H475" s="23">
        <f t="shared" si="49"/>
        <v>-1.9602019602019682E-2</v>
      </c>
      <c r="I475" s="23">
        <f t="shared" si="50"/>
        <v>2.842166569598148E-2</v>
      </c>
      <c r="J475" s="23">
        <f t="shared" si="51"/>
        <v>2.0883054892601338E-2</v>
      </c>
      <c r="K475" s="23">
        <f>E474/100/Inputs!$B$17-'Valuation and Bond'!$B$44*(E475-E474)/100+0.5*'Valuation and Bond'!$B$45*((E475-E474)/100)^2</f>
        <v>5.9811434166599101E-3</v>
      </c>
      <c r="L475" s="23">
        <f t="shared" si="52"/>
        <v>1.7016379982632612E-2</v>
      </c>
      <c r="M475" s="23">
        <f t="shared" si="53"/>
        <v>1.5026141791991214E-2</v>
      </c>
      <c r="N475" s="23">
        <f>SUMPRODUCT(H475:K475,Portfolio!$B$23:$E$23)</f>
        <v>8.9209611008057611E-3</v>
      </c>
      <c r="O475" s="23">
        <f>SUMPRODUCT(H475:K475,Portfolio!$B$24:$E$24)</f>
        <v>1.0701876270235647E-2</v>
      </c>
      <c r="Q475" s="21">
        <f t="shared" si="54"/>
        <v>201.0998589264801</v>
      </c>
      <c r="R475" s="21">
        <f t="shared" si="55"/>
        <v>311.22781617784398</v>
      </c>
      <c r="S475" s="22">
        <f>Q475/MAX(Q$6:Q475)-1</f>
        <v>-6.9119767022471024E-2</v>
      </c>
      <c r="T475" s="22">
        <f>R475/MAX(R$6:R475)-1</f>
        <v>-7.7101874835275863E-3</v>
      </c>
    </row>
    <row r="476" spans="1:20" x14ac:dyDescent="0.2">
      <c r="A476" s="18">
        <v>45954</v>
      </c>
      <c r="B476" s="19">
        <v>485.41</v>
      </c>
      <c r="C476" s="19">
        <v>169.13</v>
      </c>
      <c r="D476" s="19">
        <v>69.709999999999994</v>
      </c>
      <c r="E476" s="19">
        <v>3.58</v>
      </c>
      <c r="F476" s="20">
        <v>6791.69</v>
      </c>
      <c r="H476" s="23">
        <f t="shared" si="49"/>
        <v>-1.9670806826214138E-2</v>
      </c>
      <c r="I476" s="23">
        <f t="shared" si="50"/>
        <v>-4.2190508551364969E-2</v>
      </c>
      <c r="J476" s="23">
        <f t="shared" si="51"/>
        <v>1.855639976621859E-2</v>
      </c>
      <c r="K476" s="23">
        <f>E475/100/Inputs!$B$17-'Valuation and Bond'!$B$44*(E476-E475)/100+0.5*'Valuation and Bond'!$B$45*((E476-E475)/100)^2</f>
        <v>1.1281144041900169E-3</v>
      </c>
      <c r="L476" s="23">
        <f t="shared" si="52"/>
        <v>1.9159635114593065E-2</v>
      </c>
      <c r="M476" s="23">
        <f t="shared" si="53"/>
        <v>-1.0040841924487036E-2</v>
      </c>
      <c r="N476" s="23">
        <f>SUMPRODUCT(H476:K476,Portfolio!$B$23:$E$23)</f>
        <v>-1.0544200301792626E-2</v>
      </c>
      <c r="O476" s="23">
        <f>SUMPRODUCT(H476:K476,Portfolio!$B$24:$E$24)</f>
        <v>-1.3852919696054808E-3</v>
      </c>
      <c r="Q476" s="21">
        <f t="shared" si="54"/>
        <v>199.08064703196266</v>
      </c>
      <c r="R476" s="21">
        <f t="shared" si="55"/>
        <v>317.19082757332313</v>
      </c>
      <c r="S476" s="22">
        <f>Q476/MAX(Q$6:Q476)-1</f>
        <v>-7.8466588292428141E-2</v>
      </c>
      <c r="T476" s="22">
        <f>R476/MAX(R$6:R476)-1</f>
        <v>0</v>
      </c>
    </row>
    <row r="477" spans="1:20" x14ac:dyDescent="0.2">
      <c r="A477" s="18">
        <v>45961</v>
      </c>
      <c r="B477" s="19">
        <v>491.88</v>
      </c>
      <c r="C477" s="19">
        <v>161.46</v>
      </c>
      <c r="D477" s="19">
        <v>68.900000000000006</v>
      </c>
      <c r="E477" s="19">
        <v>3.67</v>
      </c>
      <c r="F477" s="20">
        <v>6840.2</v>
      </c>
      <c r="H477" s="23">
        <f t="shared" si="49"/>
        <v>1.3328938423188497E-2</v>
      </c>
      <c r="I477" s="23">
        <f t="shared" si="50"/>
        <v>-4.534973097617212E-2</v>
      </c>
      <c r="J477" s="23">
        <f t="shared" si="51"/>
        <v>-1.1619566776645884E-2</v>
      </c>
      <c r="K477" s="23">
        <f>E476/100/Inputs!$B$17-'Valuation and Bond'!$B$44*(E477-E476)/100+0.5*'Valuation and Bond'!$B$45*((E477-E476)/100)^2</f>
        <v>-3.2409308249688996E-3</v>
      </c>
      <c r="L477" s="23">
        <f t="shared" si="52"/>
        <v>7.1425521482870735E-3</v>
      </c>
      <c r="M477" s="23">
        <f t="shared" si="53"/>
        <v>-1.7769116833176092E-2</v>
      </c>
      <c r="N477" s="23">
        <f>SUMPRODUCT(H477:K477,Portfolio!$B$23:$E$23)</f>
        <v>-1.1720322538649602E-2</v>
      </c>
      <c r="O477" s="23">
        <f>SUMPRODUCT(H477:K477,Portfolio!$B$24:$E$24)</f>
        <v>-9.5181238157337131E-3</v>
      </c>
      <c r="Q477" s="21">
        <f t="shared" si="54"/>
        <v>195.54315975562741</v>
      </c>
      <c r="R477" s="21">
        <f t="shared" si="55"/>
        <v>319.45637960022395</v>
      </c>
      <c r="S477" s="22">
        <f>Q477/MAX(Q$6:Q477)-1</f>
        <v>-9.4841423150735404E-2</v>
      </c>
      <c r="T477" s="22">
        <f>R477/MAX(R$6:R477)-1</f>
        <v>0</v>
      </c>
    </row>
    <row r="478" spans="1:20" x14ac:dyDescent="0.2">
      <c r="A478" s="18">
        <v>45968</v>
      </c>
      <c r="B478" s="19">
        <v>458.35</v>
      </c>
      <c r="C478" s="19">
        <v>160.55000000000001</v>
      </c>
      <c r="D478" s="19">
        <v>70.55</v>
      </c>
      <c r="E478" s="19">
        <v>3.71</v>
      </c>
      <c r="F478" s="20">
        <v>6728.8</v>
      </c>
      <c r="H478" s="23">
        <f t="shared" si="49"/>
        <v>-6.816703260957957E-2</v>
      </c>
      <c r="I478" s="23">
        <f t="shared" si="50"/>
        <v>-5.6360708534621828E-3</v>
      </c>
      <c r="J478" s="23">
        <f t="shared" si="51"/>
        <v>2.3947750362844467E-2</v>
      </c>
      <c r="K478" s="23">
        <f>E477/100/Inputs!$B$17-'Valuation and Bond'!$B$44*(E478-E477)/100+0.5*'Valuation and Bond'!$B$45*((E478-E477)/100)^2</f>
        <v>-1.0428886498261357E-3</v>
      </c>
      <c r="L478" s="23">
        <f t="shared" si="52"/>
        <v>-1.6286073506622589E-2</v>
      </c>
      <c r="M478" s="23">
        <f t="shared" si="53"/>
        <v>-3.0182471849170335E-3</v>
      </c>
      <c r="N478" s="23">
        <f>SUMPRODUCT(H478:K478,Portfolio!$B$23:$E$23)</f>
        <v>-1.2724560437505856E-2</v>
      </c>
      <c r="O478" s="23">
        <f>SUMPRODUCT(H478:K478,Portfolio!$B$24:$E$24)</f>
        <v>-1.8389986964082315E-3</v>
      </c>
      <c r="Q478" s="21">
        <f t="shared" si="54"/>
        <v>194.9529621641652</v>
      </c>
      <c r="R478" s="21">
        <f t="shared" si="55"/>
        <v>314.2536895198952</v>
      </c>
      <c r="S478" s="22">
        <f>Q478/MAX(Q$6:Q478)-1</f>
        <v>-9.7573415477214209E-2</v>
      </c>
      <c r="T478" s="22">
        <f>R478/MAX(R$6:R478)-1</f>
        <v>-1.6286073506622478E-2</v>
      </c>
    </row>
    <row r="479" spans="1:20" x14ac:dyDescent="0.2">
      <c r="A479" s="18">
        <v>45975</v>
      </c>
      <c r="B479" s="19">
        <v>465.77</v>
      </c>
      <c r="C479" s="19">
        <v>159.33000000000001</v>
      </c>
      <c r="D479" s="19">
        <v>71.16</v>
      </c>
      <c r="E479" s="19">
        <v>3.71</v>
      </c>
      <c r="F479" s="20">
        <v>6734.11</v>
      </c>
      <c r="H479" s="23">
        <f t="shared" si="49"/>
        <v>1.618850223628221E-2</v>
      </c>
      <c r="I479" s="23">
        <f t="shared" si="50"/>
        <v>-7.5988788539396168E-3</v>
      </c>
      <c r="J479" s="23">
        <f t="shared" si="51"/>
        <v>8.6463501063076542E-3</v>
      </c>
      <c r="K479" s="23">
        <f>E478/100/Inputs!$B$17-'Valuation and Bond'!$B$44*(E479-E478)/100+0.5*'Valuation and Bond'!$B$45*((E479-E478)/100)^2</f>
        <v>7.1346153846153846E-4</v>
      </c>
      <c r="L479" s="23">
        <f t="shared" si="52"/>
        <v>7.8914516704298165E-4</v>
      </c>
      <c r="M479" s="23">
        <f t="shared" si="53"/>
        <v>2.6981819930784602E-3</v>
      </c>
      <c r="N479" s="23">
        <f>SUMPRODUCT(H479:K479,Portfolio!$B$23:$E$23)</f>
        <v>4.4873587567779462E-3</v>
      </c>
      <c r="O479" s="23">
        <f>SUMPRODUCT(H479:K479,Portfolio!$B$24:$E$24)</f>
        <v>4.2945097743861899E-3</v>
      </c>
      <c r="Q479" s="21">
        <f t="shared" si="54"/>
        <v>195.47898073617387</v>
      </c>
      <c r="R479" s="21">
        <f t="shared" si="55"/>
        <v>314.50168130020523</v>
      </c>
      <c r="S479" s="22">
        <f>Q479/MAX(Q$6:Q479)-1</f>
        <v>-9.5138504316779504E-2</v>
      </c>
      <c r="T479" s="22">
        <f>R479/MAX(R$6:R479)-1</f>
        <v>-1.5509780415777441E-2</v>
      </c>
    </row>
    <row r="480" spans="1:20" x14ac:dyDescent="0.2">
      <c r="A480" s="18">
        <v>45982</v>
      </c>
      <c r="B480" s="19">
        <v>460.78</v>
      </c>
      <c r="C480" s="19">
        <v>159.4</v>
      </c>
      <c r="D480" s="19">
        <v>72.95</v>
      </c>
      <c r="E480" s="19">
        <v>3.69</v>
      </c>
      <c r="F480" s="20">
        <v>6602.99</v>
      </c>
      <c r="H480" s="23">
        <f t="shared" si="49"/>
        <v>-1.0713442256907957E-2</v>
      </c>
      <c r="I480" s="23">
        <f t="shared" si="50"/>
        <v>4.3933973514076463E-4</v>
      </c>
      <c r="J480" s="23">
        <f t="shared" si="51"/>
        <v>2.5154581225407702E-2</v>
      </c>
      <c r="K480" s="23">
        <f>E479/100/Inputs!$B$17-'Valuation and Bond'!$B$44*(E480-E479)/100+0.5*'Valuation and Bond'!$B$45*((E480-E479)/100)^2</f>
        <v>1.5891472435349888E-3</v>
      </c>
      <c r="L480" s="23">
        <f t="shared" si="52"/>
        <v>-1.9471021411886613E-2</v>
      </c>
      <c r="M480" s="23">
        <f t="shared" si="53"/>
        <v>7.5329516258382462E-3</v>
      </c>
      <c r="N480" s="23">
        <f>SUMPRODUCT(H480:K480,Portfolio!$B$23:$E$23)</f>
        <v>4.1174064867938748E-3</v>
      </c>
      <c r="O480" s="23">
        <f>SUMPRODUCT(H480:K480,Portfolio!$B$24:$E$24)</f>
        <v>7.8327214324767861E-3</v>
      </c>
      <c r="Q480" s="21">
        <f t="shared" si="54"/>
        <v>196.95151444192763</v>
      </c>
      <c r="R480" s="21">
        <f t="shared" si="55"/>
        <v>308.37801232953461</v>
      </c>
      <c r="S480" s="22">
        <f>Q480/MAX(Q$6:Q480)-1</f>
        <v>-8.8322226441714169E-2</v>
      </c>
      <c r="T480" s="22">
        <f>R480/MAX(R$6:R480)-1</f>
        <v>-3.4678810561094786E-2</v>
      </c>
    </row>
    <row r="481" spans="1:20" x14ac:dyDescent="0.2">
      <c r="A481" s="18">
        <v>45989</v>
      </c>
      <c r="B481" s="19">
        <v>457.86</v>
      </c>
      <c r="C481" s="19">
        <v>168.27</v>
      </c>
      <c r="D481" s="19">
        <v>73.12</v>
      </c>
      <c r="E481" s="19">
        <v>3.58</v>
      </c>
      <c r="F481" s="20">
        <v>6849.09</v>
      </c>
      <c r="H481" s="23">
        <f t="shared" si="49"/>
        <v>-6.3370806024566351E-3</v>
      </c>
      <c r="I481" s="23">
        <f t="shared" si="50"/>
        <v>5.5646173149309863E-2</v>
      </c>
      <c r="J481" s="23">
        <f t="shared" si="51"/>
        <v>2.3303632625086834E-3</v>
      </c>
      <c r="K481" s="23">
        <f>E480/100/Inputs!$B$17-'Valuation and Bond'!$B$44*(E481-E480)/100+0.5*'Valuation and Bond'!$B$45*((E481-E480)/100)^2</f>
        <v>5.5370800719194294E-3</v>
      </c>
      <c r="L481" s="23">
        <f t="shared" si="52"/>
        <v>3.7270993898218974E-2</v>
      </c>
      <c r="M481" s="23">
        <f t="shared" si="53"/>
        <v>1.9417487574927318E-2</v>
      </c>
      <c r="N481" s="23">
        <f>SUMPRODUCT(H481:K481,Portfolio!$B$23:$E$23)</f>
        <v>1.4294133970320335E-2</v>
      </c>
      <c r="O481" s="23">
        <f>SUMPRODUCT(H481:K481,Portfolio!$B$24:$E$24)</f>
        <v>9.5548297010914288E-3</v>
      </c>
      <c r="Q481" s="21">
        <f t="shared" si="54"/>
        <v>200.77581802646688</v>
      </c>
      <c r="R481" s="21">
        <f t="shared" si="55"/>
        <v>319.87156734541361</v>
      </c>
      <c r="S481" s="22">
        <f>Q481/MAX(Q$6:Q481)-1</f>
        <v>-7.0619734601308659E-2</v>
      </c>
      <c r="T481" s="22">
        <f>R481/MAX(R$6:R481)-1</f>
        <v>0</v>
      </c>
    </row>
    <row r="482" spans="1:20" x14ac:dyDescent="0.2">
      <c r="A482" s="18">
        <v>45996</v>
      </c>
      <c r="B482" s="19">
        <v>452.2</v>
      </c>
      <c r="C482" s="19">
        <v>182.54</v>
      </c>
      <c r="D482" s="19">
        <v>70</v>
      </c>
      <c r="E482" s="19">
        <v>3.67</v>
      </c>
      <c r="F482" s="20">
        <v>6870.4</v>
      </c>
      <c r="H482" s="23">
        <f t="shared" si="49"/>
        <v>-1.2361857336303683E-2</v>
      </c>
      <c r="I482" s="23">
        <f t="shared" si="50"/>
        <v>8.4804183752302809E-2</v>
      </c>
      <c r="J482" s="23">
        <f t="shared" si="51"/>
        <v>-4.2669584245076608E-2</v>
      </c>
      <c r="K482" s="23">
        <f>E481/100/Inputs!$B$17-'Valuation and Bond'!$B$44*(E482-E481)/100+0.5*'Valuation and Bond'!$B$45*((E482-E481)/100)^2</f>
        <v>-3.2409308249688996E-3</v>
      </c>
      <c r="L482" s="23">
        <f t="shared" si="52"/>
        <v>3.1113622393630358E-3</v>
      </c>
      <c r="M482" s="23">
        <f t="shared" si="53"/>
        <v>1.1298263693492553E-2</v>
      </c>
      <c r="N482" s="23">
        <f>SUMPRODUCT(H482:K482,Portfolio!$B$23:$E$23)</f>
        <v>6.6329528364884047E-3</v>
      </c>
      <c r="O482" s="23">
        <f>SUMPRODUCT(H482:K482,Portfolio!$B$24:$E$24)</f>
        <v>-6.1139299956396616E-3</v>
      </c>
      <c r="Q482" s="21">
        <f t="shared" si="54"/>
        <v>203.04423616180659</v>
      </c>
      <c r="R482" s="21">
        <f t="shared" si="55"/>
        <v>320.86680366149801</v>
      </c>
      <c r="S482" s="22">
        <f>Q482/MAX(Q$6:Q482)-1</f>
        <v>-6.0119351291306078E-2</v>
      </c>
      <c r="T482" s="22">
        <f>R482/MAX(R$6:R482)-1</f>
        <v>0</v>
      </c>
    </row>
    <row r="483" spans="1:20" x14ac:dyDescent="0.2">
      <c r="A483" s="18">
        <v>46003</v>
      </c>
      <c r="B483" s="19">
        <v>480.25</v>
      </c>
      <c r="C483" s="19">
        <v>179.42</v>
      </c>
      <c r="D483" s="19">
        <v>70.52</v>
      </c>
      <c r="E483" s="19">
        <v>3.74</v>
      </c>
      <c r="F483" s="20">
        <v>6827.41</v>
      </c>
      <c r="H483" s="23">
        <f t="shared" si="49"/>
        <v>6.203007518796988E-2</v>
      </c>
      <c r="I483" s="23">
        <f t="shared" si="50"/>
        <v>-1.709214418757532E-2</v>
      </c>
      <c r="J483" s="23">
        <f t="shared" si="51"/>
        <v>7.42857142857134E-3</v>
      </c>
      <c r="K483" s="23">
        <f>E482/100/Inputs!$B$17-'Valuation and Bond'!$B$44*(E483-E482)/100+0.5*'Valuation and Bond'!$B$45*((E483-E482)/100)^2</f>
        <v>-2.3520077219150773E-3</v>
      </c>
      <c r="L483" s="23">
        <f t="shared" si="52"/>
        <v>-6.2572775966464045E-3</v>
      </c>
      <c r="M483" s="23">
        <f t="shared" si="53"/>
        <v>4.6153186932659657E-3</v>
      </c>
      <c r="N483" s="23">
        <f>SUMPRODUCT(H483:K483,Portfolio!$B$23:$E$23)</f>
        <v>1.2503623676762705E-2</v>
      </c>
      <c r="O483" s="23">
        <f>SUMPRODUCT(H483:K483,Portfolio!$B$24:$E$24)</f>
        <v>7.3079308553854246E-3</v>
      </c>
      <c r="Q483" s="21">
        <f t="shared" si="54"/>
        <v>203.9813500205241</v>
      </c>
      <c r="R483" s="21">
        <f t="shared" si="55"/>
        <v>318.85905099943938</v>
      </c>
      <c r="S483" s="22">
        <f>Q483/MAX(Q$6:Q483)-1</f>
        <v>-5.5781502563881924E-2</v>
      </c>
      <c r="T483" s="22">
        <f>R483/MAX(R$6:R483)-1</f>
        <v>-6.2572775966464045E-3</v>
      </c>
    </row>
    <row r="484" spans="1:20" x14ac:dyDescent="0.2">
      <c r="A484" s="18">
        <v>46010</v>
      </c>
      <c r="B484" s="19">
        <v>474.13</v>
      </c>
      <c r="C484" s="19">
        <v>176.29</v>
      </c>
      <c r="D484" s="19">
        <v>70.06</v>
      </c>
      <c r="E484" s="19">
        <v>3.7</v>
      </c>
      <c r="F484" s="20">
        <v>6834.5</v>
      </c>
      <c r="H484" s="23">
        <f t="shared" si="49"/>
        <v>-1.2743362831858396E-2</v>
      </c>
      <c r="I484" s="23">
        <f t="shared" si="50"/>
        <v>-1.7445100880615239E-2</v>
      </c>
      <c r="J484" s="23">
        <f t="shared" si="51"/>
        <v>-6.5229722064661377E-3</v>
      </c>
      <c r="K484" s="23">
        <f>E483/100/Inputs!$B$17-'Valuation and Bond'!$B$44*(E484-E483)/100+0.5*'Valuation and Bond'!$B$45*((E484-E483)/100)^2</f>
        <v>2.4715066892281811E-3</v>
      </c>
      <c r="L484" s="23">
        <f t="shared" si="52"/>
        <v>1.0384611441234259E-3</v>
      </c>
      <c r="M484" s="23">
        <f t="shared" si="53"/>
        <v>-9.1525806476609531E-3</v>
      </c>
      <c r="N484" s="23">
        <f>SUMPRODUCT(H484:K484,Portfolio!$B$23:$E$23)</f>
        <v>-8.5599823074278981E-3</v>
      </c>
      <c r="O484" s="23">
        <f>SUMPRODUCT(H484:K484,Portfolio!$B$24:$E$24)</f>
        <v>-5.1730788362588124E-3</v>
      </c>
      <c r="Q484" s="21">
        <f t="shared" si="54"/>
        <v>202.11439426384248</v>
      </c>
      <c r="R484" s="21">
        <f t="shared" si="55"/>
        <v>319.19017373435435</v>
      </c>
      <c r="S484" s="22">
        <f>Q484/MAX(Q$6:Q484)-1</f>
        <v>-6.4423538510679279E-2</v>
      </c>
      <c r="T484" s="22">
        <f>R484/MAX(R$6:R484)-1</f>
        <v>-5.2253143921751066E-3</v>
      </c>
    </row>
    <row r="485" spans="1:20" x14ac:dyDescent="0.2">
      <c r="A485" s="18">
        <v>46017</v>
      </c>
      <c r="B485" s="19">
        <v>483.03</v>
      </c>
      <c r="C485" s="19">
        <v>176.88</v>
      </c>
      <c r="D485" s="19">
        <v>69.87</v>
      </c>
      <c r="E485" s="19">
        <v>3.7</v>
      </c>
      <c r="F485" s="20">
        <v>6929.94</v>
      </c>
      <c r="H485" s="23">
        <f t="shared" si="49"/>
        <v>1.8771223082276967E-2</v>
      </c>
      <c r="I485" s="23">
        <f t="shared" si="50"/>
        <v>3.3467581825401549E-3</v>
      </c>
      <c r="J485" s="23">
        <f t="shared" si="51"/>
        <v>-2.7119611761347029E-3</v>
      </c>
      <c r="K485" s="23">
        <f>E484/100/Inputs!$B$17-'Valuation and Bond'!$B$44*(E485-E484)/100+0.5*'Valuation and Bond'!$B$45*((E485-E484)/100)^2</f>
        <v>7.1153846153846159E-4</v>
      </c>
      <c r="L485" s="23">
        <f t="shared" si="52"/>
        <v>1.3964445094739819E-2</v>
      </c>
      <c r="M485" s="23">
        <f t="shared" si="53"/>
        <v>2.8186380540021791E-3</v>
      </c>
      <c r="N485" s="23">
        <f>SUMPRODUCT(H485:K485,Portfolio!$B$23:$E$23)</f>
        <v>5.02938963755522E-3</v>
      </c>
      <c r="O485" s="23">
        <f>SUMPRODUCT(H485:K485,Portfolio!$B$24:$E$24)</f>
        <v>2.2287955729323778E-3</v>
      </c>
      <c r="Q485" s="21">
        <f t="shared" si="54"/>
        <v>202.68408158677616</v>
      </c>
      <c r="R485" s="21">
        <f t="shared" si="55"/>
        <v>323.64748739024822</v>
      </c>
      <c r="S485" s="22">
        <f>Q485/MAX(Q$6:Q485)-1</f>
        <v>-6.178648709389678E-2</v>
      </c>
      <c r="T485" s="22">
        <f>R485/MAX(R$6:R485)-1</f>
        <v>0</v>
      </c>
    </row>
    <row r="486" spans="1:20" x14ac:dyDescent="0.2">
      <c r="A486" s="18">
        <v>46024</v>
      </c>
      <c r="B486" s="19">
        <v>497.07</v>
      </c>
      <c r="C486" s="19">
        <v>177.52</v>
      </c>
      <c r="D486" s="19">
        <v>69.12</v>
      </c>
      <c r="E486" s="19">
        <v>3.71</v>
      </c>
      <c r="F486" s="20">
        <v>6858.47</v>
      </c>
      <c r="H486" s="23">
        <f t="shared" si="49"/>
        <v>2.9066517607602149E-2</v>
      </c>
      <c r="I486" s="23">
        <f t="shared" si="50"/>
        <v>3.6182722749886764E-3</v>
      </c>
      <c r="J486" s="23">
        <f t="shared" si="51"/>
        <v>-1.0734220695577501E-2</v>
      </c>
      <c r="K486" s="23">
        <f>E485/100/Inputs!$B$17-'Valuation and Bond'!$B$44*(E486-E485)/100+0.5*'Valuation and Bond'!$B$45*((E486-E485)/100)^2</f>
        <v>2.7403480019568796E-4</v>
      </c>
      <c r="L486" s="23">
        <f t="shared" si="52"/>
        <v>-1.031322060508455E-2</v>
      </c>
      <c r="M486" s="23">
        <f t="shared" si="53"/>
        <v>1.4773509090352792E-3</v>
      </c>
      <c r="N486" s="23">
        <f>SUMPRODUCT(H486:K486,Portfolio!$B$23:$E$23)</f>
        <v>5.5561509968022529E-3</v>
      </c>
      <c r="O486" s="23">
        <f>SUMPRODUCT(H486:K486,Portfolio!$B$24:$E$24)</f>
        <v>6.9966673931459267E-4</v>
      </c>
      <c r="Q486" s="21">
        <f t="shared" si="54"/>
        <v>202.98351709895539</v>
      </c>
      <c r="R486" s="21">
        <f t="shared" si="55"/>
        <v>320.30963945451128</v>
      </c>
      <c r="S486" s="22">
        <f>Q486/MAX(Q$6:Q486)-1</f>
        <v>-6.0400416507735644E-2</v>
      </c>
      <c r="T486" s="22">
        <f>R486/MAX(R$6:R486)-1</f>
        <v>-1.0313220605084439E-2</v>
      </c>
    </row>
    <row r="487" spans="1:20" x14ac:dyDescent="0.2">
      <c r="A487" s="18">
        <v>46031</v>
      </c>
      <c r="B487" s="19">
        <v>542.91999999999996</v>
      </c>
      <c r="C487" s="19">
        <v>190.31</v>
      </c>
      <c r="D487" s="19">
        <v>70.510000000000005</v>
      </c>
      <c r="E487" s="19">
        <v>3.72</v>
      </c>
      <c r="F487" s="20">
        <v>6966.28</v>
      </c>
      <c r="H487" s="23">
        <f t="shared" si="49"/>
        <v>9.2240529502886748E-2</v>
      </c>
      <c r="I487" s="23">
        <f t="shared" si="50"/>
        <v>7.2048219918882328E-2</v>
      </c>
      <c r="J487" s="23">
        <f t="shared" si="51"/>
        <v>2.010995370370372E-2</v>
      </c>
      <c r="K487" s="23">
        <f>E486/100/Inputs!$B$17-'Valuation and Bond'!$B$44*(E487-E486)/100+0.5*'Valuation and Bond'!$B$45*((E487-E486)/100)^2</f>
        <v>2.7595787711874543E-4</v>
      </c>
      <c r="L487" s="23">
        <f t="shared" si="52"/>
        <v>1.5719249336951124E-2</v>
      </c>
      <c r="M487" s="23">
        <f t="shared" si="53"/>
        <v>4.2840083682787411E-2</v>
      </c>
      <c r="N487" s="23">
        <f>SUMPRODUCT(H487:K487,Portfolio!$B$23:$E$23)</f>
        <v>4.6168665250647882E-2</v>
      </c>
      <c r="O487" s="23">
        <f>SUMPRODUCT(H487:K487,Portfolio!$B$24:$E$24)</f>
        <v>2.8350613040474069E-2</v>
      </c>
      <c r="Q487" s="21">
        <f t="shared" si="54"/>
        <v>211.67934795770114</v>
      </c>
      <c r="R487" s="21">
        <f t="shared" si="55"/>
        <v>325.34466654212565</v>
      </c>
      <c r="S487" s="22">
        <f>Q487/MAX(Q$6:Q487)-1</f>
        <v>-2.0147891722614886E-2</v>
      </c>
      <c r="T487" s="22">
        <f>R487/MAX(R$6:R487)-1</f>
        <v>0</v>
      </c>
    </row>
    <row r="488" spans="1:20" x14ac:dyDescent="0.2">
      <c r="A488" s="18">
        <v>46038</v>
      </c>
      <c r="B488" s="19">
        <v>582.42999999999995</v>
      </c>
      <c r="C488" s="19">
        <v>191.58</v>
      </c>
      <c r="D488" s="19">
        <v>70.44</v>
      </c>
      <c r="E488" s="19">
        <v>3.77</v>
      </c>
      <c r="F488" s="20">
        <v>6940.01</v>
      </c>
      <c r="H488" s="23">
        <f t="shared" si="49"/>
        <v>7.2773152582332523E-2</v>
      </c>
      <c r="I488" s="23">
        <f t="shared" si="50"/>
        <v>6.673322473858434E-3</v>
      </c>
      <c r="J488" s="23">
        <f t="shared" si="51"/>
        <v>-9.9276698340666769E-4</v>
      </c>
      <c r="K488" s="23">
        <f>E487/100/Inputs!$B$17-'Valuation and Bond'!$B$44*(E488-E487)/100+0.5*'Valuation and Bond'!$B$45*((E488-E487)/100)^2</f>
        <v>-1.4698724167030131E-3</v>
      </c>
      <c r="L488" s="23">
        <f t="shared" si="52"/>
        <v>-3.7710226979104089E-3</v>
      </c>
      <c r="M488" s="23">
        <f t="shared" si="53"/>
        <v>1.1215605793291991E-2</v>
      </c>
      <c r="N488" s="23">
        <f>SUMPRODUCT(H488:K488,Portfolio!$B$23:$E$23)</f>
        <v>1.9245958914020318E-2</v>
      </c>
      <c r="O488" s="23">
        <f>SUMPRODUCT(H488:K488,Portfolio!$B$24:$E$24)</f>
        <v>9.3398081194404747E-3</v>
      </c>
      <c r="Q488" s="21">
        <f t="shared" si="54"/>
        <v>214.0534600789758</v>
      </c>
      <c r="R488" s="21">
        <f t="shared" si="55"/>
        <v>324.11778441995119</v>
      </c>
      <c r="S488" s="22">
        <f>Q488/MAX(Q$6:Q488)-1</f>
        <v>-9.1582567404496773E-3</v>
      </c>
      <c r="T488" s="22">
        <f>R488/MAX(R$6:R488)-1</f>
        <v>-3.7710226979104089E-3</v>
      </c>
    </row>
    <row r="489" spans="1:20" x14ac:dyDescent="0.2">
      <c r="A489" s="18">
        <v>46045</v>
      </c>
      <c r="B489" s="19">
        <v>590.82000000000005</v>
      </c>
      <c r="C489" s="19">
        <v>193.31</v>
      </c>
      <c r="D489" s="19">
        <v>72.88</v>
      </c>
      <c r="E489" s="19">
        <v>3.85</v>
      </c>
      <c r="F489" s="20">
        <v>6915.61</v>
      </c>
      <c r="H489" s="23">
        <f t="shared" si="49"/>
        <v>1.4405164569132989E-2</v>
      </c>
      <c r="I489" s="23">
        <f t="shared" si="50"/>
        <v>9.0301701639001752E-3</v>
      </c>
      <c r="J489" s="23">
        <f t="shared" si="51"/>
        <v>3.4639409426462153E-2</v>
      </c>
      <c r="K489" s="23">
        <f>E488/100/Inputs!$B$17-'Valuation and Bond'!$B$44*(E489-E488)/100+0.5*'Valuation and Bond'!$B$45*((E489-E488)/100)^2</f>
        <v>-2.7686977217886871E-3</v>
      </c>
      <c r="L489" s="23">
        <f t="shared" si="52"/>
        <v>-3.5158450780331529E-3</v>
      </c>
      <c r="M489" s="23">
        <f t="shared" si="53"/>
        <v>1.6025701596570421E-2</v>
      </c>
      <c r="N489" s="23">
        <f>SUMPRODUCT(H489:K489,Portfolio!$B$23:$E$23)</f>
        <v>1.3826511609426658E-2</v>
      </c>
      <c r="O489" s="23">
        <f>SUMPRODUCT(H489:K489,Portfolio!$B$24:$E$24)</f>
        <v>1.367730912668888E-2</v>
      </c>
      <c r="Q489" s="21">
        <f t="shared" si="54"/>
        <v>217.48381695591485</v>
      </c>
      <c r="R489" s="21">
        <f t="shared" si="55"/>
        <v>322.9782365028953</v>
      </c>
      <c r="S489" s="22">
        <f>Q489/MAX(Q$6:Q489)-1</f>
        <v>0</v>
      </c>
      <c r="T489" s="22">
        <f>R489/MAX(R$6:R489)-1</f>
        <v>-7.2736094443519583E-3</v>
      </c>
    </row>
    <row r="490" spans="1:20" x14ac:dyDescent="0.2">
      <c r="A490" s="18">
        <v>46052</v>
      </c>
      <c r="B490" s="19">
        <v>634.22</v>
      </c>
      <c r="C490" s="19">
        <v>215.55</v>
      </c>
      <c r="D490" s="19">
        <v>74.81</v>
      </c>
      <c r="E490" s="19">
        <v>3.81</v>
      </c>
      <c r="F490" s="20">
        <v>6939.03</v>
      </c>
      <c r="H490" s="23">
        <f t="shared" si="49"/>
        <v>7.3457228936054886E-2</v>
      </c>
      <c r="I490" s="23">
        <f t="shared" si="50"/>
        <v>0.11504836790647155</v>
      </c>
      <c r="J490" s="23">
        <f t="shared" si="51"/>
        <v>2.64818880351263E-2</v>
      </c>
      <c r="K490" s="23">
        <f>E489/100/Inputs!$B$17-'Valuation and Bond'!$B$44*(E490-E489)/100+0.5*'Valuation and Bond'!$B$45*((E490-E489)/100)^2</f>
        <v>2.4926605353820272E-3</v>
      </c>
      <c r="L490" s="23">
        <f t="shared" si="52"/>
        <v>3.3865414619969059E-3</v>
      </c>
      <c r="M490" s="23">
        <f t="shared" si="53"/>
        <v>5.7135213562094424E-2</v>
      </c>
      <c r="N490" s="23">
        <f>SUMPRODUCT(H490:K490,Portfolio!$B$23:$E$23)</f>
        <v>5.437003635325869E-2</v>
      </c>
      <c r="O490" s="23">
        <f>SUMPRODUCT(H490:K490,Portfolio!$B$24:$E$24)</f>
        <v>3.4667520412324397E-2</v>
      </c>
      <c r="Q490" s="21">
        <f t="shared" si="54"/>
        <v>229.90980128399048</v>
      </c>
      <c r="R490" s="21">
        <f t="shared" si="55"/>
        <v>324.07201569213498</v>
      </c>
      <c r="S490" s="22">
        <f>Q490/MAX(Q$6:Q490)-1</f>
        <v>0</v>
      </c>
      <c r="T490" s="22">
        <f>R490/MAX(R$6:R490)-1</f>
        <v>-3.9117003623168056E-3</v>
      </c>
    </row>
    <row r="491" spans="1:20" x14ac:dyDescent="0.2">
      <c r="A491" s="18">
        <v>46059</v>
      </c>
      <c r="B491" s="19">
        <v>623.58000000000004</v>
      </c>
      <c r="C491" s="19">
        <v>221.44</v>
      </c>
      <c r="D491" s="19">
        <v>79.03</v>
      </c>
      <c r="E491" s="19">
        <v>3.8</v>
      </c>
      <c r="F491" s="20">
        <v>6932.3</v>
      </c>
      <c r="H491" s="23">
        <f t="shared" si="49"/>
        <v>-1.6776512881965244E-2</v>
      </c>
      <c r="I491" s="23">
        <f t="shared" si="50"/>
        <v>2.7325446532127096E-2</v>
      </c>
      <c r="J491" s="23">
        <f t="shared" si="51"/>
        <v>5.640957091297949E-2</v>
      </c>
      <c r="K491" s="23">
        <f>E490/100/Inputs!$B$17-'Valuation and Bond'!$B$44*(E491-E490)/100+0.5*'Valuation and Bond'!$B$45*((E491-E490)/100)^2</f>
        <v>1.1704220964977286E-3</v>
      </c>
      <c r="L491" s="23">
        <f t="shared" si="52"/>
        <v>-9.6987619307009609E-4</v>
      </c>
      <c r="M491" s="23">
        <f t="shared" si="53"/>
        <v>2.6066824001171673E-2</v>
      </c>
      <c r="N491" s="23">
        <f>SUMPRODUCT(H491:K491,Portfolio!$B$23:$E$23)</f>
        <v>1.7032231664909768E-2</v>
      </c>
      <c r="O491" s="23">
        <f>SUMPRODUCT(H491:K491,Portfolio!$B$24:$E$24)</f>
        <v>2.1029487117193553E-2</v>
      </c>
      <c r="Q491" s="21">
        <f t="shared" si="54"/>
        <v>235.9028196102046</v>
      </c>
      <c r="R491" s="21">
        <f t="shared" si="55"/>
        <v>323.75770595927492</v>
      </c>
      <c r="S491" s="22">
        <f>Q491/MAX(Q$6:Q491)-1</f>
        <v>0</v>
      </c>
      <c r="T491" s="22">
        <f>R491/MAX(R$6:R491)-1</f>
        <v>-4.8777826903311228E-3</v>
      </c>
    </row>
    <row r="492" spans="1:20" x14ac:dyDescent="0.2">
      <c r="A492" s="18">
        <v>46066</v>
      </c>
      <c r="B492" s="19">
        <v>652.58000000000004</v>
      </c>
      <c r="C492" s="19">
        <v>226.16</v>
      </c>
      <c r="D492" s="19">
        <v>78.680000000000007</v>
      </c>
      <c r="E492" s="19">
        <v>3.7</v>
      </c>
      <c r="F492" s="20">
        <v>6836.17</v>
      </c>
      <c r="H492" s="23">
        <f t="shared" si="49"/>
        <v>4.6505660861477338E-2</v>
      </c>
      <c r="I492" s="23">
        <f t="shared" si="50"/>
        <v>2.131502890173409E-2</v>
      </c>
      <c r="J492" s="23">
        <f t="shared" si="51"/>
        <v>-4.4286979627988776E-3</v>
      </c>
      <c r="K492" s="23">
        <f>E491/100/Inputs!$B$17-'Valuation and Bond'!$B$44*(E492-E491)/100+0.5*'Valuation and Bond'!$B$45*((E492-E491)/100)^2</f>
        <v>5.1182428546415765E-3</v>
      </c>
      <c r="L492" s="23">
        <f t="shared" si="52"/>
        <v>-1.3866970558112035E-2</v>
      </c>
      <c r="M492" s="23">
        <f t="shared" si="53"/>
        <v>1.2724922610201693E-2</v>
      </c>
      <c r="N492" s="23">
        <f>SUMPRODUCT(H492:K492,Portfolio!$B$23:$E$23)</f>
        <v>1.7127558663763531E-2</v>
      </c>
      <c r="O492" s="23">
        <f>SUMPRODUCT(H492:K492,Portfolio!$B$24:$E$24)</f>
        <v>9.3639866534906725E-3</v>
      </c>
      <c r="Q492" s="21">
        <f t="shared" si="54"/>
        <v>238.90466473327285</v>
      </c>
      <c r="R492" s="21">
        <f t="shared" si="55"/>
        <v>319.26816738277574</v>
      </c>
      <c r="S492" s="22">
        <f>Q492/MAX(Q$6:Q492)-1</f>
        <v>0</v>
      </c>
      <c r="T492" s="22">
        <f>R492/MAX(R$6:R492)-1</f>
        <v>-1.8677113179487503E-2</v>
      </c>
    </row>
    <row r="493" spans="1:20" x14ac:dyDescent="0.2">
      <c r="A493" s="18">
        <v>46073</v>
      </c>
      <c r="B493" s="19">
        <v>658.26</v>
      </c>
      <c r="C493" s="19">
        <v>219.73</v>
      </c>
      <c r="D493" s="19">
        <v>79.84</v>
      </c>
      <c r="E493" s="19">
        <v>3.65</v>
      </c>
      <c r="F493" s="20">
        <v>6909.51</v>
      </c>
      <c r="H493" s="23">
        <f t="shared" si="49"/>
        <v>8.7039136964048858E-3</v>
      </c>
      <c r="I493" s="23">
        <f t="shared" si="50"/>
        <v>-2.8431199151043529E-2</v>
      </c>
      <c r="J493" s="23">
        <f t="shared" si="51"/>
        <v>1.4743263853584043E-2</v>
      </c>
      <c r="K493" s="23">
        <f>E492/100/Inputs!$B$17-'Valuation and Bond'!$B$44*(E493-E492)/100+0.5*'Valuation and Bond'!$B$45*((E493-E492)/100)^2</f>
        <v>2.9024486801918058E-3</v>
      </c>
      <c r="L493" s="23">
        <f t="shared" si="52"/>
        <v>1.07282294033062E-2</v>
      </c>
      <c r="M493" s="23">
        <f t="shared" si="53"/>
        <v>-2.6726858684477418E-3</v>
      </c>
      <c r="N493" s="23">
        <f>SUMPRODUCT(H493:K493,Portfolio!$B$23:$E$23)</f>
        <v>-5.2039323021569857E-4</v>
      </c>
      <c r="O493" s="23">
        <f>SUMPRODUCT(H493:K493,Portfolio!$B$24:$E$24)</f>
        <v>3.5121666471540644E-3</v>
      </c>
      <c r="Q493" s="21">
        <f t="shared" si="54"/>
        <v>238.266147611934</v>
      </c>
      <c r="R493" s="21">
        <f t="shared" si="55"/>
        <v>322.6933495236313</v>
      </c>
      <c r="S493" s="22">
        <f>Q493/MAX(Q$6:Q493)-1</f>
        <v>-2.6726858684477106E-3</v>
      </c>
      <c r="T493" s="22">
        <f>R493/MAX(R$6:R493)-1</f>
        <v>-8.1492561309624012E-3</v>
      </c>
    </row>
    <row r="494" spans="1:20" x14ac:dyDescent="0.2">
      <c r="A494" s="18">
        <v>46080</v>
      </c>
      <c r="B494" s="19">
        <v>658.08</v>
      </c>
      <c r="C494" s="19">
        <v>212.11</v>
      </c>
      <c r="D494" s="19">
        <v>81.56</v>
      </c>
      <c r="E494" s="19">
        <v>3.58</v>
      </c>
      <c r="F494" s="20">
        <v>6878.88</v>
      </c>
      <c r="H494" s="23">
        <f t="shared" si="49"/>
        <v>-2.7344818156949113E-4</v>
      </c>
      <c r="I494" s="23">
        <f t="shared" si="50"/>
        <v>-3.4678924134164513E-2</v>
      </c>
      <c r="J494" s="23">
        <f t="shared" si="51"/>
        <v>2.1543086172344683E-2</v>
      </c>
      <c r="K494" s="23">
        <f>E493/100/Inputs!$B$17-'Valuation and Bond'!$B$44*(E494-E493)/100+0.5*'Valuation and Bond'!$B$45*((E494-E493)/100)^2</f>
        <v>3.7707802752761301E-3</v>
      </c>
      <c r="L494" s="23">
        <f t="shared" si="52"/>
        <v>-4.4330205759887109E-3</v>
      </c>
      <c r="M494" s="23">
        <f t="shared" si="53"/>
        <v>-3.4553292101106906E-3</v>
      </c>
      <c r="N494" s="23">
        <f>SUMPRODUCT(H494:K494,Portfolio!$B$23:$E$23)</f>
        <v>-2.4096264670282978E-3</v>
      </c>
      <c r="O494" s="23">
        <f>SUMPRODUCT(H494:K494,Portfolio!$B$24:$E$24)</f>
        <v>4.1782183707159077E-3</v>
      </c>
      <c r="Q494" s="21">
        <f t="shared" si="54"/>
        <v>237.44285963230993</v>
      </c>
      <c r="R494" s="21">
        <f t="shared" si="55"/>
        <v>321.26284326545834</v>
      </c>
      <c r="S494" s="22">
        <f>Q494/MAX(Q$6:Q494)-1</f>
        <v>-6.1187800690076788E-3</v>
      </c>
      <c r="T494" s="22">
        <f>R494/MAX(R$6:R494)-1</f>
        <v>-1.2546150886843521E-2</v>
      </c>
    </row>
    <row r="495" spans="1:20" x14ac:dyDescent="0.2">
      <c r="A495" s="18">
        <v>46087</v>
      </c>
      <c r="B495" s="19">
        <v>671.77</v>
      </c>
      <c r="C495" s="19">
        <v>193.23</v>
      </c>
      <c r="D495" s="19">
        <v>77.040000000000006</v>
      </c>
      <c r="E495" s="19">
        <v>3.67</v>
      </c>
      <c r="F495" s="20">
        <v>6740.02</v>
      </c>
      <c r="H495" s="23">
        <f t="shared" si="49"/>
        <v>2.0802941891563176E-2</v>
      </c>
      <c r="I495" s="23">
        <f t="shared" si="50"/>
        <v>-8.9010419122153683E-2</v>
      </c>
      <c r="J495" s="23">
        <f t="shared" si="51"/>
        <v>-5.5419323197645864E-2</v>
      </c>
      <c r="K495" s="23">
        <f>E494/100/Inputs!$B$17-'Valuation and Bond'!$B$44*(E495-E494)/100+0.5*'Valuation and Bond'!$B$45*((E495-E494)/100)^2</f>
        <v>-3.2409308249688996E-3</v>
      </c>
      <c r="L495" s="23">
        <f t="shared" si="52"/>
        <v>-2.0186425697206523E-2</v>
      </c>
      <c r="M495" s="23">
        <f t="shared" si="53"/>
        <v>-4.5969256253877849E-2</v>
      </c>
      <c r="N495" s="23">
        <f>SUMPRODUCT(H495:K495,Portfolio!$B$23:$E$23)</f>
        <v>-3.1716932813301318E-2</v>
      </c>
      <c r="O495" s="23">
        <f>SUMPRODUCT(H495:K495,Portfolio!$B$24:$E$24)</f>
        <v>-2.9170377378980868E-2</v>
      </c>
      <c r="Q495" s="21">
        <f t="shared" si="54"/>
        <v>226.52778797221873</v>
      </c>
      <c r="R495" s="21">
        <f t="shared" si="55"/>
        <v>314.77769475060688</v>
      </c>
      <c r="S495" s="22">
        <f>Q495/MAX(Q$6:Q495)-1</f>
        <v>-5.1806760553932185E-2</v>
      </c>
      <c r="T495" s="22">
        <f>R495/MAX(R$6:R495)-1</f>
        <v>-3.2479314641386758E-2</v>
      </c>
    </row>
    <row r="496" spans="1:20" x14ac:dyDescent="0.2">
      <c r="A496" s="18">
        <v>46094</v>
      </c>
      <c r="B496" s="19">
        <v>646</v>
      </c>
      <c r="C496" s="19">
        <v>190.78</v>
      </c>
      <c r="D496" s="19">
        <v>77.34</v>
      </c>
      <c r="E496" s="19">
        <v>3.8</v>
      </c>
      <c r="F496" s="20">
        <v>6632.19</v>
      </c>
      <c r="H496" s="23">
        <f t="shared" si="49"/>
        <v>-3.8361343912350909E-2</v>
      </c>
      <c r="I496" s="23">
        <f t="shared" si="50"/>
        <v>-1.2679190601873391E-2</v>
      </c>
      <c r="J496" s="23">
        <f t="shared" si="51"/>
        <v>3.8940809968845969E-3</v>
      </c>
      <c r="K496" s="23">
        <f>E495/100/Inputs!$B$17-'Valuation and Bond'!$B$44*(E496-E495)/100+0.5*'Valuation and Bond'!$B$45*((E496-E495)/100)^2</f>
        <v>-4.9641404246019722E-3</v>
      </c>
      <c r="L496" s="23">
        <f t="shared" si="52"/>
        <v>-1.5998468847273628E-2</v>
      </c>
      <c r="M496" s="23">
        <f t="shared" si="53"/>
        <v>-8.9455867154765584E-3</v>
      </c>
      <c r="N496" s="23">
        <f>SUMPRODUCT(H496:K496,Portfolio!$B$23:$E$23)</f>
        <v>-1.3027648485485419E-2</v>
      </c>
      <c r="O496" s="23">
        <f>SUMPRODUCT(H496:K496,Portfolio!$B$24:$E$24)</f>
        <v>-7.2902330021860449E-3</v>
      </c>
      <c r="Q496" s="21">
        <f t="shared" si="54"/>
        <v>224.50136400144817</v>
      </c>
      <c r="R496" s="21">
        <f t="shared" si="55"/>
        <v>309.74173360732271</v>
      </c>
      <c r="S496" s="22">
        <f>Q496/MAX(Q$6:Q496)-1</f>
        <v>-6.0288905400425641E-2</v>
      </c>
      <c r="T496" s="22">
        <f>R496/MAX(R$6:R496)-1</f>
        <v>-4.7958164185189278E-2</v>
      </c>
    </row>
    <row r="497" spans="1:20" x14ac:dyDescent="0.2">
      <c r="A497" s="18">
        <v>46101</v>
      </c>
      <c r="B497" s="19">
        <v>627.42999999999995</v>
      </c>
      <c r="C497" s="19">
        <v>187.19</v>
      </c>
      <c r="D497" s="19">
        <v>74.75</v>
      </c>
      <c r="E497" s="19">
        <v>3.87</v>
      </c>
      <c r="F497" s="20">
        <v>6506.48</v>
      </c>
      <c r="H497" s="23">
        <f t="shared" si="49"/>
        <v>-2.8746130030959827E-2</v>
      </c>
      <c r="I497" s="23">
        <f t="shared" si="50"/>
        <v>-1.8817486109655168E-2</v>
      </c>
      <c r="J497" s="23">
        <f t="shared" si="51"/>
        <v>-3.3488492371347323E-2</v>
      </c>
      <c r="K497" s="23">
        <f>E496/100/Inputs!$B$17-'Valuation and Bond'!$B$44*(E497-E496)/100+0.5*'Valuation and Bond'!$B$45*((E497-E496)/100)^2</f>
        <v>-2.3270077219150771E-3</v>
      </c>
      <c r="L497" s="23">
        <f t="shared" si="52"/>
        <v>-1.8954523317335603E-2</v>
      </c>
      <c r="M497" s="23">
        <f t="shared" si="53"/>
        <v>-2.1786400365001121E-2</v>
      </c>
      <c r="N497" s="23">
        <f>SUMPRODUCT(H497:K497,Portfolio!$B$23:$E$23)</f>
        <v>-2.0844779058469348E-2</v>
      </c>
      <c r="O497" s="23">
        <f>SUMPRODUCT(H497:K497,Portfolio!$B$24:$E$24)</f>
        <v>-1.8470166776850434E-2</v>
      </c>
      <c r="Q497" s="21">
        <f t="shared" si="54"/>
        <v>219.61028740282376</v>
      </c>
      <c r="R497" s="21">
        <f t="shared" si="55"/>
        <v>303.87072669531074</v>
      </c>
      <c r="S497" s="22">
        <f>Q497/MAX(Q$6:Q497)-1</f>
        <v>-8.076182753480543E-2</v>
      </c>
      <c r="T497" s="22">
        <f>R497/MAX(R$6:R497)-1</f>
        <v>-6.6003663361220211E-2</v>
      </c>
    </row>
    <row r="498" spans="1:20" x14ac:dyDescent="0.2">
      <c r="A498" s="18">
        <v>46108</v>
      </c>
      <c r="B498" s="19">
        <v>615.84</v>
      </c>
      <c r="C498" s="19">
        <v>190.33</v>
      </c>
      <c r="D498" s="19">
        <v>75.709999999999994</v>
      </c>
      <c r="E498" s="19">
        <v>4.0199999999999996</v>
      </c>
      <c r="F498" s="20">
        <v>6368.85</v>
      </c>
      <c r="H498" s="23">
        <f t="shared" si="49"/>
        <v>-1.8472180163524143E-2</v>
      </c>
      <c r="I498" s="23">
        <f t="shared" si="50"/>
        <v>1.6774400341898588E-2</v>
      </c>
      <c r="J498" s="23">
        <f t="shared" si="51"/>
        <v>1.2842809364548513E-2</v>
      </c>
      <c r="K498" s="23">
        <f>E497/100/Inputs!$B$17-'Valuation and Bond'!$B$44*(E498-E497)/100+0.5*'Valuation and Bond'!$B$45*((E498-E497)/100)^2</f>
        <v>-5.7945807673350285E-3</v>
      </c>
      <c r="L498" s="23">
        <f t="shared" si="52"/>
        <v>-2.1152758480775913E-2</v>
      </c>
      <c r="M498" s="23">
        <f t="shared" si="53"/>
        <v>6.2635202482277039E-3</v>
      </c>
      <c r="N498" s="23">
        <f>SUMPRODUCT(H498:K498,Portfolio!$B$23:$E$23)</f>
        <v>1.3376121938969822E-3</v>
      </c>
      <c r="O498" s="23">
        <f>SUMPRODUCT(H498:K498,Portfolio!$B$24:$E$24)</f>
        <v>1.8718938070276807E-3</v>
      </c>
      <c r="Q498" s="21">
        <f t="shared" si="54"/>
        <v>220.98582088469047</v>
      </c>
      <c r="R498" s="21">
        <f t="shared" si="55"/>
        <v>297.44302260414696</v>
      </c>
      <c r="S498" s="22">
        <f>Q498/MAX(Q$6:Q498)-1</f>
        <v>-7.5004160628625804E-2</v>
      </c>
      <c r="T498" s="22">
        <f>R498/MAX(R$6:R498)-1</f>
        <v>-8.5760262292069789E-2</v>
      </c>
    </row>
    <row r="499" spans="1:20" x14ac:dyDescent="0.2">
      <c r="A499" s="18">
        <v>46115</v>
      </c>
      <c r="B499" s="19">
        <v>622.79</v>
      </c>
      <c r="C499" s="19">
        <v>194.87</v>
      </c>
      <c r="D499" s="19">
        <v>76.72</v>
      </c>
      <c r="E499" s="19">
        <v>3.96</v>
      </c>
      <c r="F499" s="20">
        <v>6582.69</v>
      </c>
      <c r="H499" s="23">
        <f t="shared" si="49"/>
        <v>1.1285398804884217E-2</v>
      </c>
      <c r="I499" s="23">
        <f t="shared" si="50"/>
        <v>2.3853307413439717E-2</v>
      </c>
      <c r="J499" s="23">
        <f t="shared" si="51"/>
        <v>1.3340377757231625E-2</v>
      </c>
      <c r="K499" s="23">
        <f>E498/100/Inputs!$B$17-'Valuation and Bond'!$B$44*(E499-E498)/100+0.5*'Valuation and Bond'!$B$45*((E499-E498)/100)^2</f>
        <v>3.4028475678487885E-3</v>
      </c>
      <c r="L499" s="23">
        <f t="shared" si="52"/>
        <v>3.3575920299582895E-2</v>
      </c>
      <c r="M499" s="23">
        <f t="shared" si="53"/>
        <v>1.4549853794717696E-2</v>
      </c>
      <c r="N499" s="23">
        <f>SUMPRODUCT(H499:K499,Portfolio!$B$23:$E$23)</f>
        <v>1.2970482885851087E-2</v>
      </c>
      <c r="O499" s="23">
        <f>SUMPRODUCT(H499:K499,Portfolio!$B$24:$E$24)</f>
        <v>1.049239078100286E-2</v>
      </c>
      <c r="Q499" s="21">
        <f t="shared" si="54"/>
        <v>224.20113226926838</v>
      </c>
      <c r="R499" s="21">
        <f t="shared" si="55"/>
        <v>307.42994582477081</v>
      </c>
      <c r="S499" s="22">
        <f>Q499/MAX(Q$6:Q499)-1</f>
        <v>-6.1545606405050135E-2</v>
      </c>
      <c r="T499" s="22">
        <f>R499/MAX(R$6:R499)-1</f>
        <v>-5.5063821724076867E-2</v>
      </c>
    </row>
    <row r="500" spans="1:20" x14ac:dyDescent="0.2">
      <c r="A500" s="18">
        <v>46122</v>
      </c>
      <c r="B500" s="19">
        <v>613.72</v>
      </c>
      <c r="C500" s="19">
        <v>214.73</v>
      </c>
      <c r="D500" s="19">
        <v>77.47</v>
      </c>
      <c r="E500" s="19">
        <v>3.94</v>
      </c>
      <c r="F500" s="20">
        <v>6816.89</v>
      </c>
      <c r="H500" s="23">
        <f t="shared" si="49"/>
        <v>-1.4563496523707697E-2</v>
      </c>
      <c r="I500" s="23">
        <f t="shared" si="50"/>
        <v>0.10191409657720518</v>
      </c>
      <c r="J500" s="23">
        <f t="shared" si="51"/>
        <v>9.7758081334724523E-3</v>
      </c>
      <c r="K500" s="23">
        <f>E499/100/Inputs!$B$17-'Valuation and Bond'!$B$44*(E500-E499)/100+0.5*'Valuation and Bond'!$B$45*((E500-E499)/100)^2</f>
        <v>1.6372241666119118E-3</v>
      </c>
      <c r="L500" s="23">
        <f t="shared" si="52"/>
        <v>3.5578160296170891E-2</v>
      </c>
      <c r="M500" s="23">
        <f t="shared" si="53"/>
        <v>3.5328768659455771E-2</v>
      </c>
      <c r="N500" s="23">
        <f>SUMPRODUCT(H500:K500,Portfolio!$B$23:$E$23)</f>
        <v>2.4690908088395462E-2</v>
      </c>
      <c r="O500" s="23">
        <f>SUMPRODUCT(H500:K500,Portfolio!$B$24:$E$24)</f>
        <v>1.5582147566367926E-2</v>
      </c>
      <c r="Q500" s="21">
        <f t="shared" si="54"/>
        <v>232.12188220439739</v>
      </c>
      <c r="R500" s="21">
        <f t="shared" si="55"/>
        <v>318.36773771716764</v>
      </c>
      <c r="S500" s="22">
        <f>Q500/MAX(Q$6:Q500)-1</f>
        <v>-2.8391168236284403E-2</v>
      </c>
      <c r="T500" s="22">
        <f>R500/MAX(R$6:R500)-1</f>
        <v>-2.1444730903724896E-2</v>
      </c>
    </row>
    <row r="501" spans="1:20" x14ac:dyDescent="0.2">
      <c r="A501" s="18">
        <v>46129</v>
      </c>
      <c r="B501" s="19">
        <v>592.19000000000005</v>
      </c>
      <c r="C501" s="19">
        <v>229.82</v>
      </c>
      <c r="D501" s="19">
        <v>75.739999999999995</v>
      </c>
      <c r="E501" s="19">
        <v>3.89</v>
      </c>
      <c r="F501" s="20">
        <v>7126.06</v>
      </c>
      <c r="H501" s="23">
        <f t="shared" si="49"/>
        <v>-3.5081144495861305E-2</v>
      </c>
      <c r="I501" s="23">
        <f t="shared" si="50"/>
        <v>7.0274297955572163E-2</v>
      </c>
      <c r="J501" s="23">
        <f t="shared" si="51"/>
        <v>-2.2331224990318921E-2</v>
      </c>
      <c r="K501" s="23">
        <f>E500/100/Inputs!$B$17-'Valuation and Bond'!$B$44*(E501-E500)/100+0.5*'Valuation and Bond'!$B$45*((E501-E500)/100)^2</f>
        <v>2.9486025263456327E-3</v>
      </c>
      <c r="L501" s="23">
        <f t="shared" si="52"/>
        <v>4.535352631478573E-2</v>
      </c>
      <c r="M501" s="23">
        <f t="shared" si="53"/>
        <v>1.1595198750673684E-2</v>
      </c>
      <c r="N501" s="23">
        <f>SUMPRODUCT(H501:K501,Portfolio!$B$23:$E$23)</f>
        <v>3.9526327489343921E-3</v>
      </c>
      <c r="O501" s="23">
        <f>SUMPRODUCT(H501:K501,Portfolio!$B$24:$E$24)</f>
        <v>-1.6017873698815329E-3</v>
      </c>
      <c r="Q501" s="21">
        <f t="shared" si="54"/>
        <v>234.81338156293785</v>
      </c>
      <c r="R501" s="21">
        <f t="shared" si="55"/>
        <v>332.80683728750199</v>
      </c>
      <c r="S501" s="22">
        <f>Q501/MAX(Q$6:Q501)-1</f>
        <v>-1.7125170724074157E-2</v>
      </c>
      <c r="T501" s="22">
        <f>R501/MAX(R$6:R501)-1</f>
        <v>0</v>
      </c>
    </row>
    <row r="502" spans="1:20" x14ac:dyDescent="0.2">
      <c r="A502" s="18">
        <v>46136</v>
      </c>
      <c r="B502" s="19">
        <v>513.45000000000005</v>
      </c>
      <c r="C502" s="19">
        <v>277.14</v>
      </c>
      <c r="D502" s="19">
        <v>76.63</v>
      </c>
      <c r="E502" s="19">
        <v>3.91</v>
      </c>
      <c r="F502" s="20">
        <v>7165.08</v>
      </c>
      <c r="H502" s="23">
        <f t="shared" si="49"/>
        <v>-0.13296408247353042</v>
      </c>
      <c r="I502" s="23">
        <f t="shared" si="50"/>
        <v>0.20590026977634679</v>
      </c>
      <c r="J502" s="23">
        <f t="shared" si="51"/>
        <v>1.175072616847106E-2</v>
      </c>
      <c r="K502" s="23">
        <f>E501/100/Inputs!$B$17-'Valuation and Bond'!$B$44*(E502-E501)/100+0.5*'Valuation and Bond'!$B$45*((E502-E501)/100)^2</f>
        <v>-1.2670427214601571E-4</v>
      </c>
      <c r="L502" s="23">
        <f t="shared" si="52"/>
        <v>5.4756766010950475E-3</v>
      </c>
      <c r="M502" s="23">
        <f t="shared" si="53"/>
        <v>5.4269877325881441E-2</v>
      </c>
      <c r="N502" s="23">
        <f>SUMPRODUCT(H502:K502,Portfolio!$B$23:$E$23)</f>
        <v>2.1140052299785352E-2</v>
      </c>
      <c r="O502" s="23">
        <f>SUMPRODUCT(H502:K502,Portfolio!$B$24:$E$24)</f>
        <v>1.4051414731952984E-2</v>
      </c>
      <c r="Q502" s="21">
        <f t="shared" si="54"/>
        <v>247.55667497483387</v>
      </c>
      <c r="R502" s="21">
        <f t="shared" si="55"/>
        <v>334.6291798991216</v>
      </c>
      <c r="S502" s="22">
        <f>Q502/MAX(Q$6:Q502)-1</f>
        <v>0</v>
      </c>
      <c r="T502" s="22">
        <f>R502/MAX(R$6:R502)-1</f>
        <v>0</v>
      </c>
    </row>
    <row r="503" spans="1:20" x14ac:dyDescent="0.2">
      <c r="A503" s="18">
        <v>46143</v>
      </c>
      <c r="B503" s="19">
        <v>512.77</v>
      </c>
      <c r="C503" s="19">
        <v>281.02</v>
      </c>
      <c r="D503" s="19">
        <v>78.58</v>
      </c>
      <c r="E503" s="19">
        <v>4</v>
      </c>
      <c r="F503" s="20">
        <v>7230.12</v>
      </c>
      <c r="H503" s="23">
        <f t="shared" si="49"/>
        <v>-1.3243743305094702E-3</v>
      </c>
      <c r="I503" s="23">
        <f t="shared" si="50"/>
        <v>1.4000144331384856E-2</v>
      </c>
      <c r="J503" s="23">
        <f t="shared" si="51"/>
        <v>2.5446952890512797E-2</v>
      </c>
      <c r="K503" s="23">
        <f>E502/100/Inputs!$B$17-'Valuation and Bond'!$B$44*(E503-E502)/100+0.5*'Valuation and Bond'!$B$45*((E503-E502)/100)^2</f>
        <v>-3.1774692865073608E-3</v>
      </c>
      <c r="L503" s="23">
        <f t="shared" si="52"/>
        <v>9.0773585221657349E-3</v>
      </c>
      <c r="M503" s="23">
        <f t="shared" si="53"/>
        <v>1.2397420773811096E-2</v>
      </c>
      <c r="N503" s="23">
        <f>SUMPRODUCT(H503:K503,Portfolio!$B$23:$E$23)</f>
        <v>8.7363134012202054E-3</v>
      </c>
      <c r="O503" s="23">
        <f>SUMPRODUCT(H503:K503,Portfolio!$B$24:$E$24)</f>
        <v>9.0308024876864235E-3</v>
      </c>
      <c r="Q503" s="21">
        <f t="shared" si="54"/>
        <v>250.62573923986247</v>
      </c>
      <c r="R503" s="21">
        <f t="shared" si="55"/>
        <v>337.66672893704424</v>
      </c>
      <c r="S503" s="22">
        <f>Q503/MAX(Q$6:Q503)-1</f>
        <v>0</v>
      </c>
      <c r="T503" s="22">
        <f>R503/MAX(R$6:R503)-1</f>
        <v>0</v>
      </c>
    </row>
    <row r="504" spans="1:20" x14ac:dyDescent="0.2">
      <c r="A504" s="18">
        <v>46150</v>
      </c>
      <c r="B504" s="19">
        <v>506.51</v>
      </c>
      <c r="C504" s="19">
        <v>287.8</v>
      </c>
      <c r="D504" s="19">
        <v>78.42</v>
      </c>
      <c r="E504" s="19">
        <v>4.04</v>
      </c>
      <c r="F504" s="20">
        <v>7398.93</v>
      </c>
      <c r="H504" s="23">
        <f t="shared" si="49"/>
        <v>-1.2208202507946964E-2</v>
      </c>
      <c r="I504" s="23">
        <f t="shared" si="50"/>
        <v>2.4126396697744079E-2</v>
      </c>
      <c r="J504" s="23">
        <f t="shared" si="51"/>
        <v>-2.0361415118350656E-3</v>
      </c>
      <c r="K504" s="23">
        <f>E503/100/Inputs!$B$17-'Valuation and Bond'!$B$44*(E504-E503)/100+0.5*'Valuation and Bond'!$B$45*((E504-E503)/100)^2</f>
        <v>-9.7942711136459718E-4</v>
      </c>
      <c r="L504" s="23">
        <f t="shared" si="52"/>
        <v>2.3348160196511314E-2</v>
      </c>
      <c r="M504" s="23">
        <f t="shared" si="53"/>
        <v>5.4610408954353191E-3</v>
      </c>
      <c r="N504" s="23">
        <f>SUMPRODUCT(H504:K504,Portfolio!$B$23:$E$23)</f>
        <v>2.225656391649363E-3</v>
      </c>
      <c r="O504" s="23">
        <f>SUMPRODUCT(H504:K504,Portfolio!$B$24:$E$24)</f>
        <v>5.3928564490257679E-4</v>
      </c>
      <c r="Q504" s="21">
        <f t="shared" si="54"/>
        <v>251.9944166513001</v>
      </c>
      <c r="R504" s="21">
        <f t="shared" si="55"/>
        <v>345.55062581729834</v>
      </c>
      <c r="S504" s="22">
        <f>Q504/MAX(Q$6:Q504)-1</f>
        <v>0</v>
      </c>
      <c r="T504" s="22">
        <f>R504/MAX(R$6:R504)-1</f>
        <v>0</v>
      </c>
    </row>
    <row r="505" spans="1:20" x14ac:dyDescent="0.2">
      <c r="A505" s="18">
        <v>46157</v>
      </c>
      <c r="B505" s="19">
        <v>516.01</v>
      </c>
      <c r="C505" s="19">
        <v>302.73</v>
      </c>
      <c r="D505" s="19">
        <v>80.819999999999993</v>
      </c>
      <c r="E505" s="19">
        <v>4.1399999999999997</v>
      </c>
      <c r="F505" s="20">
        <v>7408.5</v>
      </c>
      <c r="H505" s="23">
        <f t="shared" si="49"/>
        <v>1.8755799490631997E-2</v>
      </c>
      <c r="I505" s="23">
        <f t="shared" si="50"/>
        <v>5.1876302988186351E-2</v>
      </c>
      <c r="J505" s="23">
        <f t="shared" si="51"/>
        <v>3.0604437643458215E-2</v>
      </c>
      <c r="K505" s="23">
        <f>E504/100/Inputs!$B$17-'Valuation and Bond'!$B$44*(E505-E504)/100+0.5*'Valuation and Bond'!$B$45*((E505-E504)/100)^2</f>
        <v>-3.5879378006864844E-3</v>
      </c>
      <c r="L505" s="23">
        <f t="shared" si="52"/>
        <v>1.2934302662681585E-3</v>
      </c>
      <c r="M505" s="23">
        <f t="shared" si="53"/>
        <v>2.9215733563140091E-2</v>
      </c>
      <c r="N505" s="23">
        <f>SUMPRODUCT(H505:K505,Portfolio!$B$23:$E$23)</f>
        <v>2.4412150580397519E-2</v>
      </c>
      <c r="O505" s="23">
        <f>SUMPRODUCT(H505:K505,Portfolio!$B$24:$E$24)</f>
        <v>1.8216592979543041E-2</v>
      </c>
      <c r="Q505" s="21">
        <f t="shared" si="54"/>
        <v>259.35661838758335</v>
      </c>
      <c r="R505" s="21">
        <f t="shared" si="55"/>
        <v>345.99757145525831</v>
      </c>
      <c r="S505" s="22">
        <f>Q505/MAX(Q$6:Q505)-1</f>
        <v>0</v>
      </c>
      <c r="T505" s="22">
        <f>R505/MAX(R$6:R505)-1</f>
        <v>0</v>
      </c>
    </row>
    <row r="506" spans="1:20" x14ac:dyDescent="0.2">
      <c r="A506" s="18">
        <v>46164</v>
      </c>
      <c r="B506" s="19">
        <v>533.24</v>
      </c>
      <c r="C506" s="19">
        <v>309.20999999999998</v>
      </c>
      <c r="D506" s="19">
        <v>81.48</v>
      </c>
      <c r="E506" s="19">
        <v>4.2699999999999996</v>
      </c>
      <c r="F506" s="20">
        <v>7473.47</v>
      </c>
      <c r="H506" s="23">
        <f t="shared" si="49"/>
        <v>3.3390825759190834E-2</v>
      </c>
      <c r="I506" s="23">
        <f t="shared" si="50"/>
        <v>2.1405212565652532E-2</v>
      </c>
      <c r="J506" s="23">
        <f t="shared" si="51"/>
        <v>8.1662954714181168E-3</v>
      </c>
      <c r="K506" s="23">
        <f>E505/100/Inputs!$B$17-'Valuation and Bond'!$B$44*(E506-E505)/100+0.5*'Valuation and Bond'!$B$45*((E506-E505)/100)^2</f>
        <v>-4.8737558092173568E-3</v>
      </c>
      <c r="L506" s="23">
        <f t="shared" si="52"/>
        <v>8.7696564756698514E-3</v>
      </c>
      <c r="M506" s="23">
        <f t="shared" si="53"/>
        <v>1.3269378119518263E-2</v>
      </c>
      <c r="N506" s="23">
        <f>SUMPRODUCT(H506:K506,Portfolio!$B$23:$E$23)</f>
        <v>1.4522144496761032E-2</v>
      </c>
      <c r="O506" s="23">
        <f>SUMPRODUCT(H506:K506,Portfolio!$B$24:$E$24)</f>
        <v>7.9545495365344662E-3</v>
      </c>
      <c r="Q506" s="21">
        <f t="shared" si="54"/>
        <v>262.79811942476783</v>
      </c>
      <c r="R506" s="21">
        <f t="shared" si="55"/>
        <v>349.03185129833696</v>
      </c>
      <c r="S506" s="22">
        <f>Q506/MAX(Q$6:Q506)-1</f>
        <v>0</v>
      </c>
      <c r="T506" s="22">
        <f>R506/MAX(R$6:R506)-1</f>
        <v>0</v>
      </c>
    </row>
    <row r="507" spans="1:20" x14ac:dyDescent="0.2">
      <c r="A507" s="18">
        <v>46171</v>
      </c>
      <c r="B507" s="19">
        <v>530.45000000000005</v>
      </c>
      <c r="C507" s="19">
        <v>305.68</v>
      </c>
      <c r="D507" s="19">
        <v>79.010000000000005</v>
      </c>
      <c r="E507" s="19">
        <v>4.16</v>
      </c>
      <c r="F507" s="20">
        <v>7580.06</v>
      </c>
      <c r="H507" s="23">
        <f t="shared" si="49"/>
        <v>-5.232165628984986E-3</v>
      </c>
      <c r="I507" s="23">
        <f t="shared" si="50"/>
        <v>-1.1416189644578023E-2</v>
      </c>
      <c r="J507" s="23">
        <f t="shared" si="51"/>
        <v>-3.0314187530682379E-2</v>
      </c>
      <c r="K507" s="23">
        <f>E506/100/Inputs!$B$17-'Valuation and Bond'!$B$44*(E507-E506)/100+0.5*'Valuation and Bond'!$B$45*((E507-E506)/100)^2</f>
        <v>5.648618533457871E-3</v>
      </c>
      <c r="L507" s="23">
        <f t="shared" si="52"/>
        <v>1.426245104349122E-2</v>
      </c>
      <c r="M507" s="23">
        <f t="shared" si="53"/>
        <v>-1.3561919113464988E-2</v>
      </c>
      <c r="N507" s="23">
        <f>SUMPRODUCT(H507:K507,Portfolio!$B$23:$E$23)</f>
        <v>-1.032848106769688E-2</v>
      </c>
      <c r="O507" s="23">
        <f>SUMPRODUCT(H507:K507,Portfolio!$B$24:$E$24)</f>
        <v>-1.0193897561777269E-2</v>
      </c>
      <c r="Q507" s="21">
        <f t="shared" si="54"/>
        <v>259.23407258595842</v>
      </c>
      <c r="R507" s="21">
        <f t="shared" si="55"/>
        <v>354.00990099009857</v>
      </c>
      <c r="S507" s="22">
        <f>Q507/MAX(Q$6:Q507)-1</f>
        <v>-1.3561919113465049E-2</v>
      </c>
      <c r="T507" s="22">
        <f>R507/MAX(R$6:R507)-1</f>
        <v>0</v>
      </c>
    </row>
    <row r="508" spans="1:20" x14ac:dyDescent="0.2">
      <c r="A508" s="18">
        <v>46178</v>
      </c>
      <c r="B508" s="19">
        <v>523.76</v>
      </c>
      <c r="C508" s="19">
        <v>285.06</v>
      </c>
      <c r="D508" s="19">
        <v>79.48</v>
      </c>
      <c r="E508" s="19">
        <v>4.21</v>
      </c>
      <c r="F508" s="20">
        <v>7383.74</v>
      </c>
      <c r="H508" s="23">
        <f t="shared" si="49"/>
        <v>-1.2611933264209729E-2</v>
      </c>
      <c r="I508" s="23">
        <f t="shared" si="50"/>
        <v>-6.7456163308034611E-2</v>
      </c>
      <c r="J508" s="23">
        <f t="shared" si="51"/>
        <v>5.9486140994811088E-3</v>
      </c>
      <c r="K508" s="23">
        <f>E507/100/Inputs!$B$17-'Valuation and Bond'!$B$44*(E508-E507)/100+0.5*'Valuation and Bond'!$B$45*((E508-E507)/100)^2</f>
        <v>-1.3852570320876288E-3</v>
      </c>
      <c r="L508" s="23">
        <f t="shared" si="52"/>
        <v>-2.5899531138276033E-2</v>
      </c>
      <c r="M508" s="23">
        <f t="shared" si="53"/>
        <v>-2.220100919700186E-2</v>
      </c>
      <c r="N508" s="23">
        <f>SUMPRODUCT(H508:K508,Portfolio!$B$23:$E$23)</f>
        <v>-1.8876184876212714E-2</v>
      </c>
      <c r="O508" s="23">
        <f>SUMPRODUCT(H508:K508,Portfolio!$B$24:$E$24)</f>
        <v>-9.0961814370812168E-3</v>
      </c>
      <c r="Q508" s="21">
        <f t="shared" si="54"/>
        <v>253.4788145563013</v>
      </c>
      <c r="R508" s="21">
        <f t="shared" si="55"/>
        <v>344.84121053614751</v>
      </c>
      <c r="S508" s="22">
        <f>Q508/MAX(Q$6:Q508)-1</f>
        <v>-3.5461840019499813E-2</v>
      </c>
      <c r="T508" s="22">
        <f>R508/MAX(R$6:R508)-1</f>
        <v>-2.5899531138276033E-2</v>
      </c>
    </row>
    <row r="509" spans="1:20" x14ac:dyDescent="0.2">
      <c r="A509" s="18">
        <v>46185</v>
      </c>
      <c r="B509" s="19">
        <v>540.33000000000004</v>
      </c>
      <c r="C509" s="19">
        <v>301.12</v>
      </c>
      <c r="D509" s="19">
        <v>82.62</v>
      </c>
      <c r="E509" s="19">
        <v>4.24</v>
      </c>
      <c r="F509" s="20">
        <v>7431.46</v>
      </c>
      <c r="H509" s="23">
        <f t="shared" si="49"/>
        <v>3.1636627462960254E-2</v>
      </c>
      <c r="I509" s="23">
        <f t="shared" si="50"/>
        <v>5.6339016347435544E-2</v>
      </c>
      <c r="J509" s="23">
        <f t="shared" si="51"/>
        <v>3.9506794162053271E-2</v>
      </c>
      <c r="K509" s="23">
        <f>E508/100/Inputs!$B$17-'Valuation and Bond'!$B$44*(E509-E508)/100+0.5*'Valuation and Bond'!$B$45*((E509-E508)/100)^2</f>
        <v>-5.0221721702509159E-4</v>
      </c>
      <c r="L509" s="23">
        <f t="shared" si="52"/>
        <v>6.4628494502785294E-3</v>
      </c>
      <c r="M509" s="23">
        <f t="shared" si="53"/>
        <v>3.6016828119783927E-2</v>
      </c>
      <c r="N509" s="23">
        <f>SUMPRODUCT(H509:K509,Portfolio!$B$23:$E$23)</f>
        <v>3.1745055188855995E-2</v>
      </c>
      <c r="O509" s="23">
        <f>SUMPRODUCT(H509:K509,Portfolio!$B$24:$E$24)</f>
        <v>2.4717311340253449E-2</v>
      </c>
      <c r="Q509" s="21">
        <f t="shared" si="54"/>
        <v>262.60831745218218</v>
      </c>
      <c r="R509" s="21">
        <f t="shared" si="55"/>
        <v>347.06986736409442</v>
      </c>
      <c r="S509" s="22">
        <f>Q509/MAX(Q$6:Q509)-1</f>
        <v>-7.2223489650957706E-4</v>
      </c>
      <c r="T509" s="22">
        <f>R509/MAX(R$6:R509)-1</f>
        <v>-1.9604066458577041E-2</v>
      </c>
    </row>
    <row r="510" spans="1:20" x14ac:dyDescent="0.2">
      <c r="A510" s="18">
        <v>46192</v>
      </c>
      <c r="B510" s="19">
        <v>510.95</v>
      </c>
      <c r="C510" s="19">
        <v>322.86</v>
      </c>
      <c r="D510" s="19">
        <v>79.39</v>
      </c>
      <c r="E510" s="19">
        <v>4.21</v>
      </c>
      <c r="F510" s="20">
        <v>7500.58</v>
      </c>
      <c r="H510" s="23">
        <f t="shared" si="49"/>
        <v>-5.4374178742620294E-2</v>
      </c>
      <c r="I510" s="23">
        <f t="shared" si="50"/>
        <v>7.2197130712008617E-2</v>
      </c>
      <c r="J510" s="23">
        <f t="shared" si="51"/>
        <v>-3.9094650205761416E-2</v>
      </c>
      <c r="K510" s="23">
        <f>E509/100/Inputs!$B$17-'Valuation and Bond'!$B$44*(E510-E509)/100+0.5*'Valuation and Bond'!$B$45*((E510-E509)/100)^2</f>
        <v>2.129252364188742E-3</v>
      </c>
      <c r="L510" s="23">
        <f t="shared" si="52"/>
        <v>9.3009987270333827E-3</v>
      </c>
      <c r="M510" s="23">
        <f t="shared" si="53"/>
        <v>3.8518804799589253E-3</v>
      </c>
      <c r="N510" s="23">
        <f>SUMPRODUCT(H510:K510,Portfolio!$B$23:$E$23)</f>
        <v>-4.7856114680460875E-3</v>
      </c>
      <c r="O510" s="23">
        <f>SUMPRODUCT(H510:K510,Portfolio!$B$24:$E$24)</f>
        <v>-9.8395886126697099E-3</v>
      </c>
      <c r="Q510" s="21">
        <f t="shared" si="54"/>
        <v>263.61985330405111</v>
      </c>
      <c r="R510" s="21">
        <f t="shared" si="55"/>
        <v>350.29796375863953</v>
      </c>
      <c r="S510" s="22">
        <f>Q510/MAX(Q$6:Q510)-1</f>
        <v>0</v>
      </c>
      <c r="T510" s="22">
        <f>R510/MAX(R$6:R510)-1</f>
        <v>-1.0485405128719427E-2</v>
      </c>
    </row>
    <row r="511" spans="1:20" x14ac:dyDescent="0.2">
      <c r="A511" s="18">
        <v>46199</v>
      </c>
      <c r="B511" s="19">
        <v>507.4</v>
      </c>
      <c r="C511" s="19">
        <v>285.42</v>
      </c>
      <c r="D511" s="19">
        <v>82.63</v>
      </c>
      <c r="E511" s="19">
        <v>4.2</v>
      </c>
      <c r="F511" s="20">
        <v>7354.02</v>
      </c>
      <c r="H511" s="23">
        <f t="shared" si="49"/>
        <v>-6.9478422546237484E-3</v>
      </c>
      <c r="I511" s="23">
        <f t="shared" si="50"/>
        <v>-0.11596357554357928</v>
      </c>
      <c r="J511" s="23">
        <f t="shared" si="51"/>
        <v>4.0811185287819463E-2</v>
      </c>
      <c r="K511" s="23">
        <f>E510/100/Inputs!$B$17-'Valuation and Bond'!$B$44*(E511-E510)/100+0.5*'Valuation and Bond'!$B$45*((E511-E510)/100)^2</f>
        <v>1.2473451734207862E-3</v>
      </c>
      <c r="L511" s="23">
        <f t="shared" si="52"/>
        <v>-1.953982225374562E-2</v>
      </c>
      <c r="M511" s="23">
        <f t="shared" si="53"/>
        <v>-2.5165324958795584E-2</v>
      </c>
      <c r="N511" s="23">
        <f>SUMPRODUCT(H511:K511,Portfolio!$B$23:$E$23)</f>
        <v>-2.0213221834240694E-2</v>
      </c>
      <c r="O511" s="23">
        <f>SUMPRODUCT(H511:K511,Portfolio!$B$24:$E$24)</f>
        <v>-1.9274677422381321E-3</v>
      </c>
      <c r="Q511" s="21">
        <f t="shared" si="54"/>
        <v>256.98577403006465</v>
      </c>
      <c r="R511" s="21">
        <f t="shared" si="55"/>
        <v>343.45320381094666</v>
      </c>
      <c r="S511" s="22">
        <f>Q511/MAX(Q$6:Q511)-1</f>
        <v>-2.5165324958795532E-2</v>
      </c>
      <c r="T511" s="22">
        <f>R511/MAX(R$6:R511)-1</f>
        <v>-2.9820344429991485E-2</v>
      </c>
    </row>
    <row r="512" spans="1:20" x14ac:dyDescent="0.2">
      <c r="A512" s="18">
        <v>46206</v>
      </c>
      <c r="B512" s="19">
        <v>545.91</v>
      </c>
      <c r="C512" s="19">
        <v>293.08</v>
      </c>
      <c r="D512" s="19">
        <v>84.14</v>
      </c>
      <c r="E512" s="19">
        <v>4.2</v>
      </c>
      <c r="F512" s="20">
        <v>7483.24</v>
      </c>
      <c r="H512" s="23">
        <f t="shared" si="49"/>
        <v>7.5896728419392989E-2</v>
      </c>
      <c r="I512" s="23">
        <f t="shared" si="50"/>
        <v>2.6837642772055137E-2</v>
      </c>
      <c r="J512" s="23">
        <f t="shared" si="51"/>
        <v>1.827423453951349E-2</v>
      </c>
      <c r="K512" s="23">
        <f>E511/100/Inputs!$B$17-'Valuation and Bond'!$B$44*(E512-E511)/100+0.5*'Valuation and Bond'!$B$45*((E512-E511)/100)^2</f>
        <v>8.0769230769230777E-4</v>
      </c>
      <c r="L512" s="23">
        <f t="shared" si="52"/>
        <v>1.7571341932711482E-2</v>
      </c>
      <c r="M512" s="23">
        <f t="shared" si="53"/>
        <v>2.524183124897203E-2</v>
      </c>
      <c r="N512" s="23">
        <f>SUMPRODUCT(H512:K512,Portfolio!$B$23:$E$23)</f>
        <v>3.0454074509663479E-2</v>
      </c>
      <c r="O512" s="23">
        <f>SUMPRODUCT(H512:K512,Portfolio!$B$24:$E$24)</f>
        <v>1.9848952357889998E-2</v>
      </c>
      <c r="Q512" s="21">
        <f t="shared" si="54"/>
        <v>263.47256557151798</v>
      </c>
      <c r="R512" s="21">
        <f t="shared" si="55"/>
        <v>349.48813749299404</v>
      </c>
      <c r="S512" s="22">
        <f>Q512/MAX(Q$6:Q512)-1</f>
        <v>-5.5871259575901444E-4</v>
      </c>
      <c r="T512" s="22">
        <f>R512/MAX(R$6:R512)-1</f>
        <v>-1.2772985965810557E-2</v>
      </c>
    </row>
    <row r="513" spans="1:20" x14ac:dyDescent="0.2">
      <c r="A513" s="18">
        <v>46213</v>
      </c>
      <c r="B513" s="19">
        <v>523.22</v>
      </c>
      <c r="C513" s="19">
        <v>311.45999999999998</v>
      </c>
      <c r="D513" s="19">
        <v>83.49</v>
      </c>
      <c r="E513" s="19">
        <v>4.2699999999999996</v>
      </c>
      <c r="F513" s="20">
        <v>7575.39</v>
      </c>
      <c r="H513" s="23">
        <f t="shared" si="49"/>
        <v>-4.156362770420019E-2</v>
      </c>
      <c r="I513" s="23">
        <f t="shared" si="50"/>
        <v>6.2713252354305915E-2</v>
      </c>
      <c r="J513" s="23">
        <f t="shared" si="51"/>
        <v>-7.7252198716425413E-3</v>
      </c>
      <c r="K513" s="23">
        <f>E512/100/Inputs!$B$17-'Valuation and Bond'!$B$44*(E513-E512)/100+0.5*'Valuation and Bond'!$B$45*((E513-E512)/100)^2</f>
        <v>-2.2500846449919616E-3</v>
      </c>
      <c r="L513" s="23">
        <f t="shared" si="52"/>
        <v>1.2314184764887992E-2</v>
      </c>
      <c r="M513" s="23">
        <f t="shared" si="53"/>
        <v>1.2130913970436679E-2</v>
      </c>
      <c r="N513" s="23">
        <f>SUMPRODUCT(H513:K513,Portfolio!$B$23:$E$23)</f>
        <v>2.7935800333678054E-3</v>
      </c>
      <c r="O513" s="23">
        <f>SUMPRODUCT(H513:K513,Portfolio!$B$24:$E$24)</f>
        <v>-5.708828278834148E-4</v>
      </c>
      <c r="Q513" s="21">
        <f t="shared" si="54"/>
        <v>266.6687285980363</v>
      </c>
      <c r="R513" s="21">
        <f t="shared" si="55"/>
        <v>353.79179899121937</v>
      </c>
      <c r="S513" s="22">
        <f>Q513/MAX(Q$6:Q513)-1</f>
        <v>0</v>
      </c>
      <c r="T513" s="22">
        <f>R513/MAX(R$6:R513)-1</f>
        <v>-6.1609011010488324E-4</v>
      </c>
    </row>
    <row r="514" spans="1:20" x14ac:dyDescent="0.2">
      <c r="A514" s="18">
        <v>46220</v>
      </c>
      <c r="B514" s="19">
        <v>508.77</v>
      </c>
      <c r="C514" s="19">
        <v>284.02</v>
      </c>
      <c r="D514" s="19">
        <v>81.56</v>
      </c>
      <c r="E514" s="19">
        <v>4.3</v>
      </c>
      <c r="F514" s="20">
        <v>7457.69</v>
      </c>
      <c r="H514" s="23">
        <f t="shared" si="49"/>
        <v>-2.7617445816291553E-2</v>
      </c>
      <c r="I514" s="23">
        <f t="shared" si="50"/>
        <v>-8.8101200796249945E-2</v>
      </c>
      <c r="J514" s="23">
        <f t="shared" si="51"/>
        <v>-2.3116540903102112E-2</v>
      </c>
      <c r="K514" s="23">
        <f>E513/100/Inputs!$B$17-'Valuation and Bond'!$B$44*(E514-E513)/100+0.5*'Valuation and Bond'!$B$45*((E514-E513)/100)^2</f>
        <v>-4.906787554866301E-4</v>
      </c>
      <c r="L514" s="23">
        <f t="shared" si="52"/>
        <v>-1.5537153862705488E-2</v>
      </c>
      <c r="M514" s="23">
        <f t="shared" si="53"/>
        <v>-4.0632676139315406E-2</v>
      </c>
      <c r="N514" s="23">
        <f>SUMPRODUCT(H514:K514,Portfolio!$B$23:$E$23)</f>
        <v>-3.4831466567782562E-2</v>
      </c>
      <c r="O514" s="23">
        <f>SUMPRODUCT(H514:K514,Portfolio!$B$24:$E$24)</f>
        <v>-2.325033165721881E-2</v>
      </c>
      <c r="Q514" s="21">
        <f t="shared" si="54"/>
        <v>255.83326451242928</v>
      </c>
      <c r="R514" s="21">
        <f t="shared" si="55"/>
        <v>348.29488137492945</v>
      </c>
      <c r="S514" s="22">
        <f>Q514/MAX(Q$6:Q514)-1</f>
        <v>-4.0632676139315427E-2</v>
      </c>
      <c r="T514" s="22">
        <f>R514/MAX(R$6:R514)-1</f>
        <v>-1.6143671685976302E-2</v>
      </c>
    </row>
    <row r="515" spans="1:20" x14ac:dyDescent="0.2">
      <c r="A515" s="18">
        <v>46227</v>
      </c>
      <c r="B515" s="19">
        <v>582.6</v>
      </c>
      <c r="C515" s="19">
        <v>279.58</v>
      </c>
      <c r="D515" s="19">
        <v>82.25</v>
      </c>
      <c r="E515" s="19">
        <v>4.4000000000000004</v>
      </c>
      <c r="F515" s="20">
        <v>7411.98</v>
      </c>
      <c r="H515" s="23">
        <f t="shared" si="49"/>
        <v>0.14511468836605945</v>
      </c>
      <c r="I515" s="23">
        <f t="shared" si="50"/>
        <v>-1.563270192239985E-2</v>
      </c>
      <c r="J515" s="23">
        <f t="shared" si="51"/>
        <v>8.4600294261891751E-3</v>
      </c>
      <c r="K515" s="23">
        <f>E514/100/Inputs!$B$17-'Valuation and Bond'!$B$44*(E515-E514)/100+0.5*'Valuation and Bond'!$B$45*((E515-E514)/100)^2</f>
        <v>-3.5379378006865233E-3</v>
      </c>
      <c r="L515" s="23">
        <f t="shared" si="52"/>
        <v>-6.1292437738763583E-3</v>
      </c>
      <c r="M515" s="23">
        <f t="shared" si="53"/>
        <v>1.6216576945312467E-2</v>
      </c>
      <c r="N515" s="23">
        <f>SUMPRODUCT(H515:K515,Portfolio!$B$23:$E$23)</f>
        <v>3.360101951729056E-2</v>
      </c>
      <c r="O515" s="23">
        <f>SUMPRODUCT(H515:K515,Portfolio!$B$24:$E$24)</f>
        <v>1.8085750442234986E-2</v>
      </c>
      <c r="Q515" s="21">
        <f t="shared" si="54"/>
        <v>259.98200433156558</v>
      </c>
      <c r="R515" s="21">
        <f t="shared" si="55"/>
        <v>346.16009714178915</v>
      </c>
      <c r="S515" s="22">
        <f>Q515/MAX(Q$6:Q515)-1</f>
        <v>-2.5075022113110079E-2</v>
      </c>
      <c r="T515" s="22">
        <f>R515/MAX(R$6:R515)-1</f>
        <v>-2.2173966960683855E-2</v>
      </c>
    </row>
    <row r="516" spans="1:20" x14ac:dyDescent="0.2">
      <c r="A516" s="18">
        <v>46234</v>
      </c>
      <c r="B516" s="19">
        <v>582.74</v>
      </c>
      <c r="C516" s="19">
        <v>275.74</v>
      </c>
      <c r="D516" s="19">
        <v>87.59</v>
      </c>
      <c r="E516" s="19">
        <v>4.3899999999999997</v>
      </c>
      <c r="F516" s="20">
        <v>7489.72</v>
      </c>
      <c r="H516" s="23">
        <f t="shared" si="49"/>
        <v>2.403020940611178E-4</v>
      </c>
      <c r="I516" s="23">
        <f t="shared" si="50"/>
        <v>-1.3734888046355143E-2</v>
      </c>
      <c r="J516" s="23">
        <f t="shared" si="51"/>
        <v>6.4924012158054767E-2</v>
      </c>
      <c r="K516" s="23">
        <f>E515/100/Inputs!$B$17-'Valuation and Bond'!$B$44*(E516-E515)/100+0.5*'Valuation and Bond'!$B$45*((E516-E515)/100)^2</f>
        <v>1.2838836349592865E-3</v>
      </c>
      <c r="L516" s="23">
        <f t="shared" si="52"/>
        <v>1.0488425494942E-2</v>
      </c>
      <c r="M516" s="23">
        <f t="shared" si="53"/>
        <v>1.7667957802501241E-2</v>
      </c>
      <c r="N516" s="23">
        <f>SUMPRODUCT(H516:K516,Portfolio!$B$23:$E$23)</f>
        <v>1.3178327460180007E-2</v>
      </c>
      <c r="O516" s="23">
        <f>SUMPRODUCT(H516:K516,Portfolio!$B$24:$E$24)</f>
        <v>2.0715792134503922E-2</v>
      </c>
      <c r="Q516" s="21">
        <f t="shared" si="54"/>
        <v>264.57535541350535</v>
      </c>
      <c r="R516" s="21">
        <f t="shared" si="55"/>
        <v>349.79077152998269</v>
      </c>
      <c r="S516" s="22">
        <f>Q516/MAX(Q$6:Q516)-1</f>
        <v>-7.8500887432001454E-3</v>
      </c>
      <c r="T516" s="22">
        <f>R516/MAX(R$6:R516)-1</f>
        <v>-1.1918111466136305E-2</v>
      </c>
    </row>
    <row r="517" spans="1:20" x14ac:dyDescent="0.2">
      <c r="A517" s="18">
        <v>46241</v>
      </c>
      <c r="B517" s="19">
        <v>587.95000000000005</v>
      </c>
      <c r="C517" s="19">
        <v>286.08</v>
      </c>
      <c r="D517" s="19">
        <v>87.05</v>
      </c>
      <c r="E517" s="19">
        <v>4.3600000000000003</v>
      </c>
      <c r="F517" s="20">
        <v>7757.64</v>
      </c>
      <c r="H517" s="23">
        <f t="shared" si="49"/>
        <v>8.9405223598861827E-3</v>
      </c>
      <c r="I517" s="23">
        <f t="shared" si="50"/>
        <v>3.7499093348806856E-2</v>
      </c>
      <c r="J517" s="23">
        <f t="shared" si="51"/>
        <v>-6.1650873387373295E-3</v>
      </c>
      <c r="K517" s="23">
        <f>E516/100/Inputs!$B$17-'Valuation and Bond'!$B$44*(E517-E516)/100+0.5*'Valuation and Bond'!$B$45*((E517-E516)/100)^2</f>
        <v>2.158098518034857E-3</v>
      </c>
      <c r="L517" s="23">
        <f t="shared" si="52"/>
        <v>3.5771697740369479E-2</v>
      </c>
      <c r="M517" s="23">
        <f t="shared" si="53"/>
        <v>1.1910222744574305E-2</v>
      </c>
      <c r="N517" s="23">
        <f>SUMPRODUCT(H517:K517,Portfolio!$B$23:$E$23)</f>
        <v>1.0608156721997641E-2</v>
      </c>
      <c r="O517" s="23">
        <f>SUMPRODUCT(H517:K517,Portfolio!$B$24:$E$24)</f>
        <v>4.8924376171549655E-3</v>
      </c>
      <c r="Q517" s="21">
        <f t="shared" si="54"/>
        <v>267.72650682920511</v>
      </c>
      <c r="R517" s="21">
        <f t="shared" si="55"/>
        <v>362.30338128152385</v>
      </c>
      <c r="S517" s="22">
        <f>Q517/MAX(Q$6:Q517)-1</f>
        <v>0</v>
      </c>
      <c r="T517" s="22">
        <f>R517/MAX(R$6:R517)-1</f>
        <v>0</v>
      </c>
    </row>
    <row r="518" spans="1:20" x14ac:dyDescent="0.2">
      <c r="A518" s="18">
        <v>46248</v>
      </c>
      <c r="B518" s="19">
        <v>608.67999999999995</v>
      </c>
      <c r="C518" s="19">
        <v>279.58</v>
      </c>
      <c r="D518" s="19">
        <v>87.71</v>
      </c>
      <c r="E518" s="19">
        <v>4.37</v>
      </c>
      <c r="F518" s="20">
        <v>7785.76</v>
      </c>
      <c r="H518" s="23">
        <f t="shared" si="49"/>
        <v>3.5258100178586549E-2</v>
      </c>
      <c r="I518" s="23">
        <f t="shared" si="50"/>
        <v>-2.2720917225950821E-2</v>
      </c>
      <c r="J518" s="23">
        <f t="shared" si="51"/>
        <v>7.5818495117747631E-3</v>
      </c>
      <c r="K518" s="23">
        <f>E517/100/Inputs!$B$17-'Valuation and Bond'!$B$44*(E518-E517)/100+0.5*'Valuation and Bond'!$B$45*((E518-E517)/100)^2</f>
        <v>4.0095787711876484E-4</v>
      </c>
      <c r="L518" s="23">
        <f t="shared" si="52"/>
        <v>3.6248137320111784E-3</v>
      </c>
      <c r="M518" s="23">
        <f t="shared" si="53"/>
        <v>-1.8713862525331754E-4</v>
      </c>
      <c r="N518" s="23">
        <f>SUMPRODUCT(H518:K518,Portfolio!$B$23:$E$23)</f>
        <v>5.1299975853823137E-3</v>
      </c>
      <c r="O518" s="23">
        <f>SUMPRODUCT(H518:K518,Portfolio!$B$24:$E$24)</f>
        <v>4.2648752527895354E-3</v>
      </c>
      <c r="Q518" s="21">
        <f t="shared" si="54"/>
        <v>267.6764048587732</v>
      </c>
      <c r="R518" s="21">
        <f t="shared" si="55"/>
        <v>363.61666355314719</v>
      </c>
      <c r="S518" s="22">
        <f>Q518/MAX(Q$6:Q518)-1</f>
        <v>-1.8713862525343572E-4</v>
      </c>
      <c r="T518" s="22">
        <f>R518/MAX(R$6:R518)-1</f>
        <v>0</v>
      </c>
    </row>
    <row r="519" spans="1:20" x14ac:dyDescent="0.2">
      <c r="A519" s="18">
        <v>46255</v>
      </c>
      <c r="B519" s="19">
        <v>563.57000000000005</v>
      </c>
      <c r="C519" s="19">
        <v>264.36</v>
      </c>
      <c r="D519" s="19">
        <v>91.1</v>
      </c>
      <c r="E519" s="19">
        <v>4.38</v>
      </c>
      <c r="F519" s="20">
        <v>7674.37</v>
      </c>
      <c r="H519" s="23">
        <f t="shared" ref="H519:H526" si="56">B519/B518-1</f>
        <v>-7.4111191430636603E-2</v>
      </c>
      <c r="I519" s="23">
        <f t="shared" ref="I519:I526" si="57">C519/C518-1</f>
        <v>-5.443880105873089E-2</v>
      </c>
      <c r="J519" s="23">
        <f t="shared" ref="J519:J526" si="58">D519/D518-1</f>
        <v>3.8650096910272547E-2</v>
      </c>
      <c r="K519" s="23">
        <f>E518/100/Inputs!$B$17-'Valuation and Bond'!$B$44*(E519-E518)/100+0.5*'Valuation and Bond'!$B$45*((E519-E518)/100)^2</f>
        <v>4.0288095404184183E-4</v>
      </c>
      <c r="L519" s="23">
        <f t="shared" ref="L519:L526" si="59">F519/F518-1</f>
        <v>-1.4306888473315404E-2</v>
      </c>
      <c r="M519" s="23">
        <f t="shared" ref="M519:M526" si="60">SUMPRODUCT(H519:K519,$H$4:$K$4)</f>
        <v>-1.465955331591519E-2</v>
      </c>
      <c r="N519" s="23">
        <f>SUMPRODUCT(H519:K519,Portfolio!$B$23:$E$23)</f>
        <v>-2.2374253656263277E-2</v>
      </c>
      <c r="O519" s="23">
        <f>SUMPRODUCT(H519:K519,Portfolio!$B$24:$E$24)</f>
        <v>-3.5086896304589782E-3</v>
      </c>
      <c r="Q519" s="21">
        <f t="shared" ref="Q519:Q526" si="61">Q518*(1+M519)</f>
        <v>263.75238833033353</v>
      </c>
      <c r="R519" s="21">
        <f t="shared" ref="R519:R526" si="62">R518*(1+L519)</f>
        <v>358.41444050065326</v>
      </c>
      <c r="S519" s="22">
        <f>Q519/MAX(Q$6:Q519)-1</f>
        <v>-1.4843948572514143E-2</v>
      </c>
      <c r="T519" s="22">
        <f>R519/MAX(R$6:R519)-1</f>
        <v>-1.4306888473315404E-2</v>
      </c>
    </row>
    <row r="520" spans="1:20" x14ac:dyDescent="0.2">
      <c r="A520" s="18">
        <v>46262</v>
      </c>
      <c r="B520" s="19">
        <v>563.85</v>
      </c>
      <c r="C520" s="19">
        <v>258.64</v>
      </c>
      <c r="D520" s="19">
        <v>89.66</v>
      </c>
      <c r="E520" s="19">
        <v>4.4000000000000004</v>
      </c>
      <c r="F520" s="20">
        <v>7711.76</v>
      </c>
      <c r="H520" s="23">
        <f t="shared" si="56"/>
        <v>4.968326915910648E-4</v>
      </c>
      <c r="I520" s="23">
        <f t="shared" si="57"/>
        <v>-2.1637161446512398E-2</v>
      </c>
      <c r="J520" s="23">
        <f t="shared" si="58"/>
        <v>-1.5806805708013183E-2</v>
      </c>
      <c r="K520" s="23">
        <f>E519/100/Inputs!$B$17-'Valuation and Bond'!$B$44*(E520-E519)/100+0.5*'Valuation and Bond'!$B$45*((E520-E519)/100)^2</f>
        <v>-3.2473502915265909E-5</v>
      </c>
      <c r="L520" s="23">
        <f t="shared" si="59"/>
        <v>4.8720611594177399E-3</v>
      </c>
      <c r="M520" s="23">
        <f t="shared" si="60"/>
        <v>-1.2415724572750777E-2</v>
      </c>
      <c r="N520" s="23">
        <f>SUMPRODUCT(H520:K520,Portfolio!$B$23:$E$23)</f>
        <v>-9.2449019914624449E-3</v>
      </c>
      <c r="O520" s="23">
        <f>SUMPRODUCT(H520:K520,Portfolio!$B$24:$E$24)</f>
        <v>-8.1674729360423255E-3</v>
      </c>
      <c r="Q520" s="21">
        <f t="shared" si="61"/>
        <v>260.47771132141889</v>
      </c>
      <c r="R520" s="21">
        <f t="shared" si="62"/>
        <v>360.16065757519095</v>
      </c>
      <c r="S520" s="22">
        <f>Q520/MAX(Q$6:Q520)-1</f>
        <v>-2.7075374768216531E-2</v>
      </c>
      <c r="T520" s="22">
        <f>R520/MAX(R$6:R520)-1</f>
        <v>-9.5045313495405459E-3</v>
      </c>
    </row>
    <row r="521" spans="1:20" x14ac:dyDescent="0.2">
      <c r="A521" s="18">
        <v>46269</v>
      </c>
      <c r="B521" s="19">
        <v>525.28</v>
      </c>
      <c r="C521" s="19">
        <v>258.44</v>
      </c>
      <c r="D521" s="19">
        <v>88.07</v>
      </c>
      <c r="E521" s="19">
        <v>4.53</v>
      </c>
      <c r="F521" s="20">
        <v>7718.6</v>
      </c>
      <c r="H521" s="23">
        <f t="shared" si="56"/>
        <v>-6.8404717566728834E-2</v>
      </c>
      <c r="I521" s="23">
        <f t="shared" si="57"/>
        <v>-7.7327559542217372E-4</v>
      </c>
      <c r="J521" s="23">
        <f t="shared" si="58"/>
        <v>-1.7733660495204195E-2</v>
      </c>
      <c r="K521" s="23">
        <f>E520/100/Inputs!$B$17-'Valuation and Bond'!$B$44*(E521-E520)/100+0.5*'Valuation and Bond'!$B$45*((E521-E520)/100)^2</f>
        <v>-4.8237558092173562E-3</v>
      </c>
      <c r="L521" s="23">
        <f t="shared" si="59"/>
        <v>8.8695706297925447E-4</v>
      </c>
      <c r="M521" s="23">
        <f t="shared" si="60"/>
        <v>-1.6268667603055776E-2</v>
      </c>
      <c r="N521" s="23">
        <f>SUMPRODUCT(H521:K521,Portfolio!$B$23:$E$23)</f>
        <v>-2.2933852366643141E-2</v>
      </c>
      <c r="O521" s="23">
        <f>SUMPRODUCT(H521:K521,Portfolio!$B$24:$E$24)</f>
        <v>-1.6855642916597843E-2</v>
      </c>
      <c r="Q521" s="21">
        <f t="shared" si="61"/>
        <v>256.24008601792599</v>
      </c>
      <c r="R521" s="21">
        <f t="shared" si="62"/>
        <v>360.48010461423451</v>
      </c>
      <c r="S521" s="22">
        <f>Q521/MAX(Q$6:Q521)-1</f>
        <v>-4.2903562098940085E-2</v>
      </c>
      <c r="T521" s="22">
        <f>R521/MAX(R$6:R521)-1</f>
        <v>-8.626004397772169E-3</v>
      </c>
    </row>
    <row r="522" spans="1:20" x14ac:dyDescent="0.2">
      <c r="A522" s="18">
        <v>46276</v>
      </c>
      <c r="B522" s="19">
        <v>524.19000000000005</v>
      </c>
      <c r="C522" s="19">
        <v>268.7</v>
      </c>
      <c r="D522" s="19">
        <v>88.29</v>
      </c>
      <c r="E522" s="19">
        <v>4.68</v>
      </c>
      <c r="F522" s="20">
        <v>7656.98</v>
      </c>
      <c r="H522" s="23">
        <f t="shared" si="56"/>
        <v>-2.0750837648491061E-3</v>
      </c>
      <c r="I522" s="23">
        <f t="shared" si="57"/>
        <v>3.9699736882835346E-2</v>
      </c>
      <c r="J522" s="23">
        <f t="shared" si="58"/>
        <v>2.4980129442491172E-3</v>
      </c>
      <c r="K522" s="23">
        <f>E521/100/Inputs!$B$17-'Valuation and Bond'!$B$44*(E522-E521)/100+0.5*'Valuation and Bond'!$B$45*((E522-E521)/100)^2</f>
        <v>-5.667657690411952E-3</v>
      </c>
      <c r="L522" s="23">
        <f t="shared" si="59"/>
        <v>-7.9833130360429383E-3</v>
      </c>
      <c r="M522" s="23">
        <f t="shared" si="60"/>
        <v>1.2535512403094844E-2</v>
      </c>
      <c r="N522" s="23">
        <f>SUMPRODUCT(H522:K522,Portfolio!$B$23:$E$23)</f>
        <v>8.6137520929558519E-3</v>
      </c>
      <c r="O522" s="23">
        <f>SUMPRODUCT(H522:K522,Portfolio!$B$24:$E$24)</f>
        <v>3.5677807740507449E-3</v>
      </c>
      <c r="Q522" s="21">
        <f t="shared" si="61"/>
        <v>259.4521867943738</v>
      </c>
      <c r="R522" s="21">
        <f t="shared" si="62"/>
        <v>357.60227909583358</v>
      </c>
      <c r="S522" s="22">
        <f>Q522/MAX(Q$6:Q522)-1</f>
        <v>-3.0905867830673395E-2</v>
      </c>
      <c r="T522" s="22">
        <f>R522/MAX(R$6:R522)-1</f>
        <v>-1.6540453340457395E-2</v>
      </c>
    </row>
    <row r="523" spans="1:20" x14ac:dyDescent="0.2">
      <c r="A523" s="18">
        <v>46283</v>
      </c>
      <c r="B523" s="19">
        <v>533.38</v>
      </c>
      <c r="C523" s="19">
        <v>266.64</v>
      </c>
      <c r="D523" s="19">
        <v>88.25</v>
      </c>
      <c r="E523" s="19">
        <v>4.83</v>
      </c>
      <c r="F523" s="20">
        <v>7650.5</v>
      </c>
      <c r="H523" s="23">
        <f t="shared" si="56"/>
        <v>1.7531810984566576E-2</v>
      </c>
      <c r="I523" s="23">
        <f t="shared" si="57"/>
        <v>-7.6665426125790415E-3</v>
      </c>
      <c r="J523" s="23">
        <f t="shared" si="58"/>
        <v>-4.5305244082005647E-4</v>
      </c>
      <c r="K523" s="23">
        <f>E522/100/Inputs!$B$17-'Valuation and Bond'!$B$44*(E523-E522)/100+0.5*'Valuation and Bond'!$B$45*((E523-E522)/100)^2</f>
        <v>-5.6388115365658374E-3</v>
      </c>
      <c r="L523" s="23">
        <f t="shared" si="59"/>
        <v>-8.462866560967619E-4</v>
      </c>
      <c r="M523" s="23">
        <f t="shared" si="60"/>
        <v>-1.4876616127859491E-3</v>
      </c>
      <c r="N523" s="23">
        <f>SUMPRODUCT(H523:K523,Portfolio!$B$23:$E$23)</f>
        <v>9.4335109865041015E-4</v>
      </c>
      <c r="O523" s="23">
        <f>SUMPRODUCT(H523:K523,Portfolio!$B$24:$E$24)</f>
        <v>-1.1641732823269219E-3</v>
      </c>
      <c r="Q523" s="21">
        <f t="shared" si="61"/>
        <v>259.06620973572643</v>
      </c>
      <c r="R523" s="21">
        <f t="shared" si="62"/>
        <v>357.29964505884499</v>
      </c>
      <c r="S523" s="22">
        <f>Q523/MAX(Q$6:Q523)-1</f>
        <v>-3.2347551970277943E-2</v>
      </c>
      <c r="T523" s="22">
        <f>R523/MAX(R$6:R523)-1</f>
        <v>-1.7372742031606325E-2</v>
      </c>
    </row>
    <row r="524" spans="1:20" x14ac:dyDescent="0.2">
      <c r="A524" s="18">
        <v>46290</v>
      </c>
      <c r="B524" s="19">
        <v>519.55999999999995</v>
      </c>
      <c r="C524" s="19">
        <v>278.07</v>
      </c>
      <c r="D524" s="19">
        <v>87.81</v>
      </c>
      <c r="E524" s="19">
        <v>4.93</v>
      </c>
      <c r="F524" s="20">
        <v>7743.41</v>
      </c>
      <c r="H524" s="23">
        <f t="shared" si="56"/>
        <v>-2.5910232854625348E-2</v>
      </c>
      <c r="I524" s="23">
        <f t="shared" si="57"/>
        <v>4.2866786678667834E-2</v>
      </c>
      <c r="J524" s="23">
        <f t="shared" si="58"/>
        <v>-4.9858356940509774E-3</v>
      </c>
      <c r="K524" s="23">
        <f>E523/100/Inputs!$B$17-'Valuation and Bond'!$B$44*(E524-E523)/100+0.5*'Valuation and Bond'!$B$45*((E524-E523)/100)^2</f>
        <v>-3.4360147237634075E-3</v>
      </c>
      <c r="L524" s="23">
        <f t="shared" si="59"/>
        <v>1.2144304293836949E-2</v>
      </c>
      <c r="M524" s="23">
        <f t="shared" si="60"/>
        <v>8.3430112592276402E-3</v>
      </c>
      <c r="N524" s="23">
        <f>SUMPRODUCT(H524:K524,Portfolio!$B$23:$E$23)</f>
        <v>2.1336758515570252E-3</v>
      </c>
      <c r="O524" s="23">
        <f>SUMPRODUCT(H524:K524,Portfolio!$B$24:$E$24)</f>
        <v>-7.2737489778601527E-4</v>
      </c>
      <c r="Q524" s="21">
        <f t="shared" si="61"/>
        <v>261.22760204043698</v>
      </c>
      <c r="R524" s="21">
        <f t="shared" si="62"/>
        <v>361.63880067251955</v>
      </c>
      <c r="S524" s="22">
        <f>Q524/MAX(Q$6:Q524)-1</f>
        <v>-2.427441670134689E-2</v>
      </c>
      <c r="T524" s="22">
        <f>R524/MAX(R$6:R524)-1</f>
        <v>-5.439417603419483E-3</v>
      </c>
    </row>
    <row r="525" spans="1:20" x14ac:dyDescent="0.2">
      <c r="A525" s="18">
        <v>46297</v>
      </c>
      <c r="B525" s="19">
        <v>505.41</v>
      </c>
      <c r="C525" s="19">
        <v>293.8</v>
      </c>
      <c r="D525" s="19">
        <v>85.65</v>
      </c>
      <c r="E525" s="19">
        <v>5.0599999999999996</v>
      </c>
      <c r="F525" s="20">
        <v>7722.72</v>
      </c>
      <c r="H525" s="23">
        <f t="shared" si="56"/>
        <v>-2.7234583108784238E-2</v>
      </c>
      <c r="I525" s="23">
        <f t="shared" si="57"/>
        <v>5.6568489948574108E-2</v>
      </c>
      <c r="J525" s="23">
        <f t="shared" si="58"/>
        <v>-2.4598565083703394E-2</v>
      </c>
      <c r="K525" s="23">
        <f>E524/100/Inputs!$B$17-'Valuation and Bond'!$B$44*(E525-E524)/100+0.5*'Valuation and Bond'!$B$45*((E525-E524)/100)^2</f>
        <v>-4.7218327322942795E-3</v>
      </c>
      <c r="L525" s="23">
        <f t="shared" si="59"/>
        <v>-2.671949438296517E-3</v>
      </c>
      <c r="M525" s="23">
        <f t="shared" si="60"/>
        <v>5.8126371589067912E-3</v>
      </c>
      <c r="N525" s="23">
        <f>SUMPRODUCT(H525:K525,Portfolio!$B$23:$E$23)</f>
        <v>3.3772559480489336E-6</v>
      </c>
      <c r="O525" s="23">
        <f>SUMPRODUCT(H525:K525,Portfolio!$B$24:$E$24)</f>
        <v>-6.241136780299127E-3</v>
      </c>
      <c r="Q525" s="21">
        <f t="shared" si="61"/>
        <v>262.74602330698934</v>
      </c>
      <c r="R525" s="21">
        <f t="shared" si="62"/>
        <v>360.6725200821964</v>
      </c>
      <c r="S525" s="22">
        <f>Q525/MAX(Q$6:Q525)-1</f>
        <v>-1.8602877918969196E-2</v>
      </c>
      <c r="T525" s="22">
        <f>R525/MAX(R$6:R525)-1</f>
        <v>-8.0968331929057724E-3</v>
      </c>
    </row>
    <row r="526" spans="1:20" x14ac:dyDescent="0.2">
      <c r="A526" s="18">
        <v>46304</v>
      </c>
      <c r="B526" s="19">
        <v>509.59</v>
      </c>
      <c r="C526" s="19">
        <v>283.74</v>
      </c>
      <c r="D526" s="19">
        <v>88.05</v>
      </c>
      <c r="E526" s="19">
        <v>5.03</v>
      </c>
      <c r="F526" s="20">
        <v>7811.54</v>
      </c>
      <c r="H526" s="23">
        <f t="shared" si="56"/>
        <v>8.2705130488116563E-3</v>
      </c>
      <c r="I526" s="23">
        <f t="shared" si="57"/>
        <v>-3.4240980258679388E-2</v>
      </c>
      <c r="J526" s="23">
        <f t="shared" si="58"/>
        <v>2.8021015761821255E-2</v>
      </c>
      <c r="K526" s="23">
        <f>E525/100/Inputs!$B$17-'Valuation and Bond'!$B$44*(E526-E525)/100+0.5*'Valuation and Bond'!$B$45*((E526-E525)/100)^2</f>
        <v>2.2869446718810109E-3</v>
      </c>
      <c r="L526" s="23">
        <f t="shared" si="59"/>
        <v>1.1501129135848442E-2</v>
      </c>
      <c r="M526" s="23">
        <f t="shared" si="60"/>
        <v>-2.8919875240577799E-4</v>
      </c>
      <c r="N526" s="23">
        <f>SUMPRODUCT(H526:K526,Portfolio!$B$23:$E$23)</f>
        <v>1.0843733059586337E-3</v>
      </c>
      <c r="O526" s="23">
        <f>SUMPRODUCT(H526:K526,Portfolio!$B$24:$E$24)</f>
        <v>6.9380592530239359E-3</v>
      </c>
      <c r="Q526" s="21">
        <f t="shared" si="61"/>
        <v>262.67003748484939</v>
      </c>
      <c r="R526" s="21">
        <f t="shared" si="62"/>
        <v>364.82066131141363</v>
      </c>
      <c r="S526" s="22">
        <f>Q526/MAX(Q$6:Q526)-1</f>
        <v>-1.8886696742289599E-2</v>
      </c>
      <c r="T526" s="22">
        <f>R526/MAX(R$6:R526)-1</f>
        <v>0</v>
      </c>
    </row>
  </sheetData>
  <pageMargins left="0.75" right="0.75" top="1" bottom="1" header="0.5" footer="0.5"/>
  <pageSetup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26"/>
  <sheetViews>
    <sheetView workbookViewId="0"/>
  </sheetViews>
  <sheetFormatPr baseColWidth="10" defaultColWidth="8.83203125" defaultRowHeight="15" x14ac:dyDescent="0.2"/>
  <cols>
    <col min="1" max="1" width="30" customWidth="1"/>
    <col min="2" max="2" width="12" customWidth="1"/>
    <col min="3" max="3" width="14" customWidth="1"/>
    <col min="4" max="5" width="12" customWidth="1"/>
    <col min="6" max="6" width="14" customWidth="1"/>
    <col min="7" max="9" width="12" customWidth="1"/>
  </cols>
  <sheetData>
    <row r="1" spans="1:8" ht="19" x14ac:dyDescent="0.25">
      <c r="A1" s="1" t="s">
        <v>107</v>
      </c>
    </row>
    <row r="2" spans="1:8" x14ac:dyDescent="0.2">
      <c r="A2" s="2" t="s">
        <v>108</v>
      </c>
    </row>
    <row r="4" spans="1:8" ht="16" x14ac:dyDescent="0.2">
      <c r="A4" s="3" t="s">
        <v>109</v>
      </c>
    </row>
    <row r="5" spans="1:8" ht="32" customHeight="1" x14ac:dyDescent="0.2">
      <c r="A5" s="4" t="s">
        <v>22</v>
      </c>
      <c r="B5" s="5" t="s">
        <v>23</v>
      </c>
      <c r="C5" s="5" t="s">
        <v>110</v>
      </c>
      <c r="D5" s="5" t="s">
        <v>25</v>
      </c>
      <c r="E5" s="5" t="s">
        <v>26</v>
      </c>
      <c r="F5" s="5" t="s">
        <v>111</v>
      </c>
      <c r="G5" s="5" t="s">
        <v>112</v>
      </c>
      <c r="H5" s="5" t="s">
        <v>113</v>
      </c>
    </row>
    <row r="6" spans="1:8" x14ac:dyDescent="0.2">
      <c r="A6" s="7" t="str">
        <f>Inputs!A6</f>
        <v>LMT</v>
      </c>
      <c r="B6" s="23">
        <f>Inputs!B6</f>
        <v>0.13250000000000001</v>
      </c>
      <c r="C6" s="22">
        <f>AVERAGE(Data!$H$7:$H$526)*Inputs!$B$17</f>
        <v>0.11039192275791515</v>
      </c>
      <c r="D6" s="22">
        <f>STDEV(Data!$H$7:$H$526)*SQRT(Inputs!$B$17)</f>
        <v>0.24975754522190735</v>
      </c>
      <c r="E6" s="19">
        <f>SLOPE(Data!$H$7:$H$526,Data!$L$7:$L$526)</f>
        <v>0.64127646380624848</v>
      </c>
      <c r="F6" s="23">
        <f>Inputs!$B$14+E6*Inputs!$B$15</f>
        <v>8.2063823190312427E-2</v>
      </c>
      <c r="G6" s="19">
        <f>(F6-Inputs!$B$14)/D6</f>
        <v>0.12837979794293702</v>
      </c>
      <c r="H6" s="16" t="s">
        <v>114</v>
      </c>
    </row>
    <row r="7" spans="1:8" x14ac:dyDescent="0.2">
      <c r="A7" s="7" t="str">
        <f>Inputs!A7</f>
        <v>TXN</v>
      </c>
      <c r="B7" s="23">
        <f>Inputs!B7</f>
        <v>0.33</v>
      </c>
      <c r="C7" s="22">
        <f>AVERAGE(Data!$I$7:$I$526)*Inputs!$B$17</f>
        <v>0.1786717278026636</v>
      </c>
      <c r="D7" s="22">
        <f>STDEV(Data!$I$7:$I$526)*SQRT(Inputs!$B$17)</f>
        <v>0.27806152188289979</v>
      </c>
      <c r="E7" s="19">
        <f>SLOPE(Data!$I$7:$I$526,Data!$L$7:$L$526)</f>
        <v>1.0140296533049162</v>
      </c>
      <c r="F7" s="23">
        <f>Inputs!$B$14+E7*Inputs!$B$15</f>
        <v>0.10070148266524581</v>
      </c>
      <c r="G7" s="19">
        <f>(F7-Inputs!$B$14)/D7</f>
        <v>0.1823390820920478</v>
      </c>
      <c r="H7" s="16" t="s">
        <v>114</v>
      </c>
    </row>
    <row r="8" spans="1:8" x14ac:dyDescent="0.2">
      <c r="A8" s="7" t="str">
        <f>Inputs!A8</f>
        <v>KO</v>
      </c>
      <c r="B8" s="23">
        <f>Inputs!B8</f>
        <v>0.33750000000000002</v>
      </c>
      <c r="C8" s="22">
        <f>AVERAGE(Data!$J$7:$J$526)*Inputs!$B$17</f>
        <v>9.2394928745276023E-2</v>
      </c>
      <c r="D8" s="22">
        <f>STDEV(Data!$J$7:$J$526)*SQRT(Inputs!$B$17)</f>
        <v>0.19105681572441358</v>
      </c>
      <c r="E8" s="19">
        <f>SLOPE(Data!$J$7:$J$526,Data!$L$7:$L$526)</f>
        <v>0.62680792376486894</v>
      </c>
      <c r="F8" s="23">
        <f>Inputs!$B$14+E8*Inputs!$B$15</f>
        <v>8.1340396188243458E-2</v>
      </c>
      <c r="G8" s="19">
        <f>(F8-Inputs!$B$14)/D8</f>
        <v>0.1640370487146077</v>
      </c>
      <c r="H8" s="16" t="s">
        <v>114</v>
      </c>
    </row>
    <row r="9" spans="1:8" x14ac:dyDescent="0.2">
      <c r="A9" s="7" t="str">
        <f>Inputs!A9</f>
        <v>UST 5Y</v>
      </c>
      <c r="B9" s="23">
        <f>Inputs!B9</f>
        <v>0.2</v>
      </c>
      <c r="C9" s="22">
        <f>AVERAGE(Data!$K$7:$K$526)*Inputs!$B$17</f>
        <v>1.0711857177602532E-2</v>
      </c>
      <c r="D9" s="22">
        <f>STDEV(Data!$K$7:$K$526)*SQRT(Inputs!$B$17)</f>
        <v>3.0955099755024043E-2</v>
      </c>
      <c r="E9" s="19">
        <f>SLOPE(Data!$K$7:$K$526,Data!$L$7:$L$526)</f>
        <v>1.2325272088231802E-2</v>
      </c>
      <c r="F9" s="23">
        <f>Inputs!$B$14+E9*Inputs!$B$15</f>
        <v>5.0616263604411592E-2</v>
      </c>
      <c r="G9" s="19">
        <f>(F9-Inputs!$B$14)/D9</f>
        <v>1.9908306201196102E-2</v>
      </c>
      <c r="H9" s="16" t="s">
        <v>114</v>
      </c>
    </row>
    <row r="10" spans="1:8" x14ac:dyDescent="0.2">
      <c r="A10" s="7" t="s">
        <v>50</v>
      </c>
      <c r="C10" s="22">
        <f>AVERAGE(Data!$L$7:$L$526)*Inputs!$B$17</f>
        <v>0.14434869548845247</v>
      </c>
      <c r="D10" s="22">
        <f>STDEV(Data!$L$7:$L$526)*SQRT(Inputs!$B$17)</f>
        <v>0.17119302901329994</v>
      </c>
      <c r="E10" s="19">
        <f>SLOPE(Data!$L$7:$L$526,Data!$L$7:$L$526)</f>
        <v>1</v>
      </c>
      <c r="F10" s="23">
        <f>Inputs!$B$14+E10*Inputs!$B$15</f>
        <v>0.1</v>
      </c>
      <c r="G10" s="19">
        <f>(F10-Inputs!$B$14)/D10</f>
        <v>0.29206796730090873</v>
      </c>
      <c r="H10" s="22">
        <f>MIN(Data!$T$6:$T$526)</f>
        <v>-0.31810328505159502</v>
      </c>
    </row>
    <row r="11" spans="1:8" x14ac:dyDescent="0.2">
      <c r="A11" s="9" t="s">
        <v>115</v>
      </c>
      <c r="B11" s="10">
        <f>SUM(B6:B9)</f>
        <v>1</v>
      </c>
      <c r="C11" s="24">
        <f>AVERAGE(Data!$M$7:$M$526)*Inputs!$B$17</f>
        <v>0.10691425982735389</v>
      </c>
      <c r="D11" s="24">
        <f>STDEV(Data!$M$7:$M$526)*SQRT(Inputs!$B$17)</f>
        <v>0.14286148184667999</v>
      </c>
      <c r="E11" s="25">
        <f>SLOPE(Data!$M$7:$M$526,Data!$L$7:$L$526)</f>
        <v>0.63361164573324014</v>
      </c>
      <c r="F11" s="10">
        <f>SUMPRODUCT(B6:B9,F6:F9)</f>
        <v>8.1680582286662001E-2</v>
      </c>
      <c r="G11" s="25">
        <f>(F11-Inputs!$B$14)/D11</f>
        <v>0.22175734058716987</v>
      </c>
      <c r="H11" s="24">
        <f>MIN(Data!$S$6:$S$526)</f>
        <v>-0.25245467095483054</v>
      </c>
    </row>
    <row r="12" spans="1:8" x14ac:dyDescent="0.2">
      <c r="A12" s="2" t="s">
        <v>116</v>
      </c>
    </row>
    <row r="14" spans="1:8" ht="16" x14ac:dyDescent="0.2">
      <c r="A14" s="3" t="s">
        <v>117</v>
      </c>
    </row>
    <row r="15" spans="1:8" ht="16" x14ac:dyDescent="0.2">
      <c r="A15" s="4"/>
      <c r="B15" s="5" t="s">
        <v>42</v>
      </c>
      <c r="C15" s="5" t="s">
        <v>44</v>
      </c>
      <c r="D15" s="5" t="s">
        <v>46</v>
      </c>
      <c r="E15" s="5" t="s">
        <v>48</v>
      </c>
    </row>
    <row r="16" spans="1:8" x14ac:dyDescent="0.2">
      <c r="A16" s="7" t="str">
        <f>Inputs!A6</f>
        <v>LMT</v>
      </c>
      <c r="B16" s="26">
        <f>CORREL(Data!$H$7:$H$526,Data!$H$7:$H$526)</f>
        <v>1.0000000000000002</v>
      </c>
      <c r="C16" s="26">
        <f>CORREL(Data!$H$7:$H$526,Data!$I$7:$I$526)</f>
        <v>0.22903217302258788</v>
      </c>
      <c r="D16" s="26">
        <f>CORREL(Data!$H$7:$H$526,Data!$J$7:$J$526)</f>
        <v>0.44173889177615694</v>
      </c>
      <c r="E16" s="26">
        <f>CORREL(Data!$H$7:$H$526,Data!$K$7:$K$526)</f>
        <v>1.5198608905596669E-2</v>
      </c>
    </row>
    <row r="17" spans="1:9" x14ac:dyDescent="0.2">
      <c r="A17" s="7" t="str">
        <f>Inputs!A7</f>
        <v>TXN</v>
      </c>
      <c r="B17" s="26">
        <f>CORREL(Data!$I$7:$I$526,Data!$H$7:$H$526)</f>
        <v>0.22903217302258788</v>
      </c>
      <c r="C17" s="26">
        <f>CORREL(Data!$I$7:$I$526,Data!$I$7:$I$526)</f>
        <v>1</v>
      </c>
      <c r="D17" s="26">
        <f>CORREL(Data!$I$7:$I$526,Data!$J$7:$J$526)</f>
        <v>0.28163153103746874</v>
      </c>
      <c r="E17" s="26">
        <f>CORREL(Data!$I$7:$I$526,Data!$K$7:$K$526)</f>
        <v>-7.1271245686604446E-3</v>
      </c>
    </row>
    <row r="18" spans="1:9" x14ac:dyDescent="0.2">
      <c r="A18" s="7" t="str">
        <f>Inputs!A8</f>
        <v>KO</v>
      </c>
      <c r="B18" s="26">
        <f>CORREL(Data!$J$7:$J$526,Data!$H$7:$H$526)</f>
        <v>0.44173889177615694</v>
      </c>
      <c r="C18" s="26">
        <f>CORREL(Data!$J$7:$J$526,Data!$I$7:$I$526)</f>
        <v>0.28163153103746874</v>
      </c>
      <c r="D18" s="26">
        <f>CORREL(Data!$J$7:$J$526,Data!$J$7:$J$526)</f>
        <v>1</v>
      </c>
      <c r="E18" s="26">
        <f>CORREL(Data!$J$7:$J$526,Data!$K$7:$K$526)</f>
        <v>0.11399577407780742</v>
      </c>
    </row>
    <row r="19" spans="1:9" x14ac:dyDescent="0.2">
      <c r="A19" s="7" t="str">
        <f>Inputs!A9</f>
        <v>UST 5Y</v>
      </c>
      <c r="B19" s="26">
        <f>CORREL(Data!$K$7:$K$526,Data!$H$7:$H$526)</f>
        <v>1.5198608905596669E-2</v>
      </c>
      <c r="C19" s="26">
        <f>CORREL(Data!$K$7:$K$526,Data!$I$7:$I$526)</f>
        <v>-7.1271245686604446E-3</v>
      </c>
      <c r="D19" s="26">
        <f>CORREL(Data!$K$7:$K$526,Data!$J$7:$J$526)</f>
        <v>0.11399577407780742</v>
      </c>
      <c r="E19" s="26">
        <f>CORREL(Data!$K$7:$K$526,Data!$K$7:$K$526)</f>
        <v>0.99999999999999978</v>
      </c>
    </row>
    <row r="21" spans="1:9" ht="16" x14ac:dyDescent="0.2">
      <c r="A21" s="3" t="s">
        <v>118</v>
      </c>
    </row>
    <row r="22" spans="1:9" ht="32" customHeight="1" x14ac:dyDescent="0.2">
      <c r="A22" s="4" t="s">
        <v>119</v>
      </c>
      <c r="B22" s="5" t="s">
        <v>42</v>
      </c>
      <c r="C22" s="5" t="s">
        <v>44</v>
      </c>
      <c r="D22" s="5" t="s">
        <v>46</v>
      </c>
      <c r="E22" s="5" t="s">
        <v>48</v>
      </c>
      <c r="F22" s="5" t="s">
        <v>52</v>
      </c>
      <c r="G22" s="5" t="s">
        <v>24</v>
      </c>
      <c r="H22" s="5" t="s">
        <v>25</v>
      </c>
      <c r="I22" s="5" t="s">
        <v>112</v>
      </c>
    </row>
    <row r="23" spans="1:9" x14ac:dyDescent="0.2">
      <c r="A23" s="7" t="s">
        <v>101</v>
      </c>
      <c r="B23" s="23">
        <v>0.25</v>
      </c>
      <c r="C23" s="23">
        <v>0.25</v>
      </c>
      <c r="D23" s="23">
        <v>0.25</v>
      </c>
      <c r="E23" s="23">
        <v>0.25</v>
      </c>
      <c r="F23" s="23">
        <f>SUM(B23:E23)</f>
        <v>1</v>
      </c>
      <c r="G23" s="23">
        <f>B23*$F$6+C23*$F$7+D23*$F$8+E23*$F$9</f>
        <v>7.8680491412053313E-2</v>
      </c>
      <c r="H23" s="22">
        <f>STDEV(Data!$N$7:$N$526)*SQRT(Inputs!$B$17)</f>
        <v>0.13287956248314597</v>
      </c>
      <c r="I23" s="19">
        <f>(G23-Inputs!$B$14)/H23</f>
        <v>0.2158382438660652</v>
      </c>
    </row>
    <row r="24" spans="1:9" x14ac:dyDescent="0.2">
      <c r="A24" s="7" t="s">
        <v>120</v>
      </c>
      <c r="B24" s="27">
        <v>0.12889999999999999</v>
      </c>
      <c r="C24" s="27">
        <v>0.13239999999999999</v>
      </c>
      <c r="D24" s="27">
        <v>0.3387</v>
      </c>
      <c r="E24" s="27">
        <v>0.4</v>
      </c>
      <c r="F24" s="23">
        <f>SUM(B24:E24)</f>
        <v>1</v>
      </c>
      <c r="G24" s="23">
        <f>B24*$F$6+C24*$F$7+D24*$F$8+E24*$F$9</f>
        <v>7.1707400744832506E-2</v>
      </c>
      <c r="H24" s="22">
        <f>STDEV(Data!$O$7:$O$526)*SQRT(Inputs!$B$17)</f>
        <v>0.10318074801343063</v>
      </c>
      <c r="I24" s="19">
        <f>(G24-Inputs!$B$14)/H24</f>
        <v>0.21038227734118514</v>
      </c>
    </row>
    <row r="25" spans="1:9" x14ac:dyDescent="0.2">
      <c r="A25" s="9" t="s">
        <v>121</v>
      </c>
      <c r="B25" s="10">
        <f>B6</f>
        <v>0.13250000000000001</v>
      </c>
      <c r="C25" s="10">
        <f>B7</f>
        <v>0.33</v>
      </c>
      <c r="D25" s="10">
        <f>B8</f>
        <v>0.33750000000000002</v>
      </c>
      <c r="E25" s="10">
        <f>B9</f>
        <v>0.2</v>
      </c>
      <c r="F25" s="23">
        <f>SUM(B25:E25)</f>
        <v>1</v>
      </c>
      <c r="G25" s="23">
        <f>B25*$F$6+C25*$F$7+D25*$F$8+E25*$F$9</f>
        <v>8.1680582286662001E-2</v>
      </c>
      <c r="H25" s="22">
        <f>D11</f>
        <v>0.14286148184667999</v>
      </c>
      <c r="I25" s="19">
        <f>(G25-Inputs!$B$14)/H25</f>
        <v>0.22175734058716987</v>
      </c>
    </row>
    <row r="26" spans="1:9" x14ac:dyDescent="0.2">
      <c r="A26" s="2" t="s">
        <v>122</v>
      </c>
    </row>
  </sheetData>
  <pageMargins left="0.75" right="0.75" top="1" bottom="1" header="0.5" footer="0.5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D64"/>
  <sheetViews>
    <sheetView workbookViewId="0"/>
  </sheetViews>
  <sheetFormatPr baseColWidth="10" defaultColWidth="8.83203125" defaultRowHeight="15" x14ac:dyDescent="0.2"/>
  <cols>
    <col min="1" max="1" width="50" customWidth="1"/>
    <col min="2" max="4" width="13" customWidth="1"/>
    <col min="5" max="5" width="3" customWidth="1"/>
  </cols>
  <sheetData>
    <row r="1" spans="1:4" ht="19" x14ac:dyDescent="0.25">
      <c r="A1" s="1" t="s">
        <v>123</v>
      </c>
    </row>
    <row r="2" spans="1:4" x14ac:dyDescent="0.2">
      <c r="A2" s="2" t="s">
        <v>124</v>
      </c>
    </row>
    <row r="4" spans="1:4" ht="16" x14ac:dyDescent="0.2">
      <c r="A4" s="3" t="s">
        <v>125</v>
      </c>
    </row>
    <row r="5" spans="1:4" ht="16" x14ac:dyDescent="0.2">
      <c r="A5" s="4"/>
      <c r="B5" s="5" t="s">
        <v>42</v>
      </c>
      <c r="C5" s="5" t="s">
        <v>44</v>
      </c>
      <c r="D5" s="5" t="s">
        <v>46</v>
      </c>
    </row>
    <row r="6" spans="1:4" x14ac:dyDescent="0.2">
      <c r="A6" s="7" t="s">
        <v>126</v>
      </c>
      <c r="B6" s="28">
        <v>504.02</v>
      </c>
      <c r="C6" s="28">
        <v>287.85000000000002</v>
      </c>
      <c r="D6" s="28">
        <v>90.11</v>
      </c>
    </row>
    <row r="7" spans="1:4" x14ac:dyDescent="0.2">
      <c r="A7" s="7" t="s">
        <v>26</v>
      </c>
      <c r="B7" s="19">
        <f>Portfolio!E6</f>
        <v>0.64127646380624848</v>
      </c>
      <c r="C7" s="19">
        <f>Portfolio!E7</f>
        <v>1.0140296533049162</v>
      </c>
      <c r="D7" s="19">
        <f>Portfolio!E8</f>
        <v>0.62680792376486894</v>
      </c>
    </row>
    <row r="8" spans="1:4" x14ac:dyDescent="0.2">
      <c r="A8" s="7" t="s">
        <v>127</v>
      </c>
      <c r="B8" s="23">
        <f>Inputs!$B$14+B7*Inputs!$B$15</f>
        <v>8.2063823190312427E-2</v>
      </c>
      <c r="C8" s="23">
        <f>Inputs!$B$14+C7*Inputs!$B$15</f>
        <v>0.10070148266524581</v>
      </c>
      <c r="D8" s="23">
        <f>Inputs!$B$14+D7*Inputs!$B$15</f>
        <v>8.1340396188243458E-2</v>
      </c>
    </row>
    <row r="9" spans="1:4" x14ac:dyDescent="0.2">
      <c r="A9" s="7" t="s">
        <v>128</v>
      </c>
      <c r="B9" s="19">
        <f>B30</f>
        <v>13.35</v>
      </c>
      <c r="C9" s="19">
        <f>C30</f>
        <v>5.5</v>
      </c>
      <c r="D9" s="19">
        <f>D30</f>
        <v>2.04</v>
      </c>
    </row>
    <row r="10" spans="1:4" x14ac:dyDescent="0.2">
      <c r="A10" s="7" t="s">
        <v>129</v>
      </c>
      <c r="B10" s="23">
        <f>LN(B30/B26)/($A$30-$A$26)</f>
        <v>5.7665595932059291E-2</v>
      </c>
      <c r="C10" s="23">
        <f>LN(C30/C26)/($A$30-$A$26)</f>
        <v>6.6821361136033777E-2</v>
      </c>
      <c r="D10" s="23">
        <f>LN(D30/D26)/($A$30-$A$26)</f>
        <v>4.8539003610239391E-2</v>
      </c>
    </row>
    <row r="11" spans="1:4" x14ac:dyDescent="0.2">
      <c r="A11" s="9" t="s">
        <v>130</v>
      </c>
      <c r="B11" s="25">
        <f>IF(B8&gt;B10,B9*(1+B10)/(B8-B10),"n/a")</f>
        <v>578.72383744260378</v>
      </c>
      <c r="C11" s="25">
        <f>IF(C8&gt;C10,C9*(1+C10)/(C8-C10),"n/a")</f>
        <v>173.18466467686989</v>
      </c>
      <c r="D11" s="25">
        <f>IF(D8&gt;D10,D9*(1+D10)/(D8-D10),"n/a")</f>
        <v>65.211242549478527</v>
      </c>
    </row>
    <row r="12" spans="1:4" x14ac:dyDescent="0.2">
      <c r="A12" s="9" t="s">
        <v>131</v>
      </c>
      <c r="B12" s="29">
        <f>IF(ISNUMBER(B11),B11/B6-1,"n/a")</f>
        <v>0.1482160180996861</v>
      </c>
      <c r="C12" s="29">
        <f>IF(ISNUMBER(C11),C11/C6-1,"n/a")</f>
        <v>-0.39835099990665324</v>
      </c>
      <c r="D12" s="29">
        <f>IF(ISNUMBER(D11),D11/D6-1,"n/a")</f>
        <v>-0.27631514205439434</v>
      </c>
    </row>
    <row r="13" spans="1:4" x14ac:dyDescent="0.2">
      <c r="A13" s="9" t="s">
        <v>132</v>
      </c>
      <c r="B13" s="30" t="str">
        <f>IF(ISNUMBER(B11),IF(B11&gt;B6,"Undervalued","Overvalued"),"n/a")</f>
        <v>Undervalued</v>
      </c>
      <c r="C13" s="30" t="str">
        <f>IF(ISNUMBER(C11),IF(C11&gt;C6,"Undervalued","Overvalued"),"n/a")</f>
        <v>Overvalued</v>
      </c>
      <c r="D13" s="30" t="str">
        <f>IF(ISNUMBER(D11),IF(D11&gt;D6,"Undervalued","Overvalued"),"n/a")</f>
        <v>Overvalued</v>
      </c>
    </row>
    <row r="14" spans="1:4" x14ac:dyDescent="0.2">
      <c r="A14" s="7" t="s">
        <v>133</v>
      </c>
      <c r="B14" s="23">
        <f>(B6*B8-B9)/(B6+B9)</f>
        <v>5.4142698966660734E-2</v>
      </c>
      <c r="C14" s="23">
        <f>(C6*C8-C9)/(C6+C9)</f>
        <v>8.0064502420968145E-2</v>
      </c>
      <c r="D14" s="23">
        <f>(D6*D8-D9)/(D6+D9)</f>
        <v>5.7401878464705562E-2</v>
      </c>
    </row>
    <row r="16" spans="1:4" x14ac:dyDescent="0.2">
      <c r="A16" s="9" t="s">
        <v>134</v>
      </c>
    </row>
    <row r="17" spans="1:4" x14ac:dyDescent="0.2">
      <c r="A17" s="7" t="s">
        <v>135</v>
      </c>
      <c r="B17" s="13">
        <v>0.06</v>
      </c>
      <c r="C17" s="13">
        <v>7.0000000000000007E-2</v>
      </c>
      <c r="D17" s="13">
        <v>0.05</v>
      </c>
    </row>
    <row r="18" spans="1:4" x14ac:dyDescent="0.2">
      <c r="A18" s="7" t="s">
        <v>136</v>
      </c>
      <c r="B18" s="12">
        <v>5</v>
      </c>
      <c r="C18" s="12">
        <v>5</v>
      </c>
      <c r="D18" s="12">
        <v>5</v>
      </c>
    </row>
    <row r="19" spans="1:4" x14ac:dyDescent="0.2">
      <c r="A19" s="7" t="s">
        <v>137</v>
      </c>
      <c r="B19" s="13">
        <v>2.5000000000000001E-2</v>
      </c>
      <c r="C19" s="13">
        <v>2.5000000000000001E-2</v>
      </c>
      <c r="D19" s="13">
        <v>2.5000000000000001E-2</v>
      </c>
    </row>
    <row r="20" spans="1:4" x14ac:dyDescent="0.2">
      <c r="A20" s="9" t="s">
        <v>138</v>
      </c>
      <c r="B20" s="25">
        <f>IF(B8&gt;B19,IFERROR(B9*(1+B17)/(B8-B17)*(1-((1+B17)/(1+B8))^B18)+B9*(1+B17)^B18*(1+B19)/(B8-B19)/(1+B8)^B18,"n/a"),"n/a")</f>
        <v>279.10237110742401</v>
      </c>
      <c r="C20" s="25">
        <f>IF(C8&gt;C19,IFERROR(C9*(1+C17)/(C8-C17)*(1-((1+C17)/(1+C8))^C18)+C9*(1+C17)^C18*(1+C19)/(C8-C19)/(1+C8)^C18,"n/a"),"n/a")</f>
        <v>89.930398900353595</v>
      </c>
      <c r="D20" s="25">
        <f>IF(D8&gt;D19,IFERROR(D9*(1+D17)/(D8-D17)*(1-((1+D17)/(1+D8))^D18)+D9*(1+D17)^D18*(1+D19)/(D8-D19)/(1+D8)^D18,"n/a"),"n/a")</f>
        <v>41.384887290783823</v>
      </c>
    </row>
    <row r="21" spans="1:4" x14ac:dyDescent="0.2">
      <c r="A21" s="9" t="s">
        <v>131</v>
      </c>
      <c r="B21" s="29">
        <f>IF(ISNUMBER(B20),B20/B6-1,"n/a")</f>
        <v>-0.44624742846033094</v>
      </c>
      <c r="C21" s="29">
        <f>IF(ISNUMBER(C20),C20/C6-1,"n/a")</f>
        <v>-0.68757895118862744</v>
      </c>
      <c r="D21" s="29">
        <f>IF(ISNUMBER(D20),D20/D6-1,"n/a")</f>
        <v>-0.54072924990806981</v>
      </c>
    </row>
    <row r="22" spans="1:4" x14ac:dyDescent="0.2">
      <c r="A22" s="9" t="s">
        <v>132</v>
      </c>
      <c r="B22" s="30" t="str">
        <f>IF(ISNUMBER(B20),IF(B20&gt;B6,"Undervalued","Overvalued"),"n/a")</f>
        <v>Overvalued</v>
      </c>
      <c r="C22" s="30" t="str">
        <f>IF(ISNUMBER(C20),IF(C20&gt;C6,"Undervalued","Overvalued"),"n/a")</f>
        <v>Overvalued</v>
      </c>
      <c r="D22" s="30" t="str">
        <f>IF(ISNUMBER(D20),IF(D20&gt;D6,"Undervalued","Overvalued"),"n/a")</f>
        <v>Overvalued</v>
      </c>
    </row>
    <row r="24" spans="1:4" x14ac:dyDescent="0.2">
      <c r="A24" s="9" t="s">
        <v>139</v>
      </c>
    </row>
    <row r="25" spans="1:4" ht="16" x14ac:dyDescent="0.2">
      <c r="A25" s="4" t="s">
        <v>140</v>
      </c>
      <c r="B25" s="5" t="s">
        <v>42</v>
      </c>
      <c r="C25" s="5" t="s">
        <v>44</v>
      </c>
      <c r="D25" s="5" t="s">
        <v>46</v>
      </c>
    </row>
    <row r="26" spans="1:4" x14ac:dyDescent="0.2">
      <c r="A26" s="31">
        <v>2021</v>
      </c>
      <c r="B26" s="28">
        <v>10.6</v>
      </c>
      <c r="C26" s="28">
        <v>4.21</v>
      </c>
      <c r="D26" s="28">
        <v>1.68</v>
      </c>
    </row>
    <row r="27" spans="1:4" x14ac:dyDescent="0.2">
      <c r="A27" s="31">
        <v>2022</v>
      </c>
      <c r="B27" s="28">
        <v>11.4</v>
      </c>
      <c r="C27" s="28">
        <v>4.6900000000000004</v>
      </c>
      <c r="D27" s="28">
        <v>1.76</v>
      </c>
    </row>
    <row r="28" spans="1:4" x14ac:dyDescent="0.2">
      <c r="A28" s="31">
        <v>2023</v>
      </c>
      <c r="B28" s="28">
        <v>12.15</v>
      </c>
      <c r="C28" s="28">
        <v>5.0199999999999996</v>
      </c>
      <c r="D28" s="28">
        <v>1.84</v>
      </c>
    </row>
    <row r="29" spans="1:4" x14ac:dyDescent="0.2">
      <c r="A29" s="31">
        <v>2024</v>
      </c>
      <c r="B29" s="28">
        <v>12.75</v>
      </c>
      <c r="C29" s="28">
        <v>5.26</v>
      </c>
      <c r="D29" s="28">
        <v>1.94</v>
      </c>
    </row>
    <row r="30" spans="1:4" x14ac:dyDescent="0.2">
      <c r="A30" s="31">
        <v>2025</v>
      </c>
      <c r="B30" s="28">
        <v>13.35</v>
      </c>
      <c r="C30" s="28">
        <v>5.5</v>
      </c>
      <c r="D30" s="28">
        <v>2.04</v>
      </c>
    </row>
    <row r="33" spans="1:4" ht="16" x14ac:dyDescent="0.2">
      <c r="A33" s="3" t="s">
        <v>141</v>
      </c>
    </row>
    <row r="34" spans="1:4" x14ac:dyDescent="0.2">
      <c r="A34" s="7" t="s">
        <v>142</v>
      </c>
      <c r="B34" s="11">
        <v>1000</v>
      </c>
    </row>
    <row r="35" spans="1:4" x14ac:dyDescent="0.2">
      <c r="A35" s="7" t="s">
        <v>143</v>
      </c>
      <c r="B35" s="8">
        <v>0.05</v>
      </c>
    </row>
    <row r="36" spans="1:4" x14ac:dyDescent="0.2">
      <c r="A36" s="7" t="s">
        <v>144</v>
      </c>
      <c r="B36" s="8">
        <v>0.05</v>
      </c>
    </row>
    <row r="37" spans="1:4" x14ac:dyDescent="0.2">
      <c r="A37" s="7" t="s">
        <v>145</v>
      </c>
      <c r="B37" s="12">
        <v>5</v>
      </c>
    </row>
    <row r="38" spans="1:4" x14ac:dyDescent="0.2">
      <c r="A38" s="7" t="s">
        <v>146</v>
      </c>
      <c r="B38" s="12">
        <v>2</v>
      </c>
    </row>
    <row r="39" spans="1:4" x14ac:dyDescent="0.2">
      <c r="A39" s="7" t="s">
        <v>147</v>
      </c>
      <c r="B39" s="12">
        <v>25</v>
      </c>
    </row>
    <row r="41" spans="1:4" x14ac:dyDescent="0.2">
      <c r="A41" s="9" t="s">
        <v>148</v>
      </c>
      <c r="B41" s="25">
        <f>PV(($B$36)/$B$38,$B$37*$B$38,-$B$34*$B$35/$B$38,-$B$34)</f>
        <v>999.99999999999989</v>
      </c>
    </row>
    <row r="42" spans="1:4" x14ac:dyDescent="0.2">
      <c r="A42" s="7" t="s">
        <v>149</v>
      </c>
      <c r="B42" s="19">
        <f>PV(($B$36+$B$39/10000)/$B$38,$B$37*$B$38,-$B$34*$B$35/$B$38,-$B$34)</f>
        <v>989.13024670521872</v>
      </c>
    </row>
    <row r="43" spans="1:4" x14ac:dyDescent="0.2">
      <c r="A43" s="7" t="s">
        <v>150</v>
      </c>
      <c r="B43" s="19">
        <f>PV(($B$36-$B$39/10000)/$B$38,$B$37*$B$38,-$B$34*$B$35/$B$38,-$B$34)</f>
        <v>1011.0110829589236</v>
      </c>
    </row>
    <row r="44" spans="1:4" x14ac:dyDescent="0.2">
      <c r="A44" s="9" t="s">
        <v>151</v>
      </c>
      <c r="B44" s="32">
        <f>(B43-B42)/(2*B41*B39/10000)</f>
        <v>4.376167250740969</v>
      </c>
    </row>
    <row r="45" spans="1:4" x14ac:dyDescent="0.2">
      <c r="A45" s="9" t="s">
        <v>152</v>
      </c>
      <c r="B45" s="25">
        <f>(B42+B43-2*B41)/(B41*(B39/10000)^2)</f>
        <v>22.612746262784643</v>
      </c>
    </row>
    <row r="47" spans="1:4" x14ac:dyDescent="0.2">
      <c r="A47" s="9" t="s">
        <v>153</v>
      </c>
    </row>
    <row r="48" spans="1:4" ht="32" customHeight="1" x14ac:dyDescent="0.2">
      <c r="A48" s="4" t="s">
        <v>154</v>
      </c>
      <c r="B48" s="5" t="s">
        <v>155</v>
      </c>
      <c r="C48" s="5" t="s">
        <v>156</v>
      </c>
      <c r="D48" s="5" t="s">
        <v>157</v>
      </c>
    </row>
    <row r="49" spans="1:4" x14ac:dyDescent="0.2">
      <c r="A49" s="31">
        <v>-200</v>
      </c>
      <c r="B49" s="23">
        <f>-$B$44*A49/10000</f>
        <v>8.7523345014819384E-2</v>
      </c>
      <c r="C49" s="23">
        <f>-$B$44*A49/10000+0.5*$B$45*(A49/10000)^2</f>
        <v>9.2045894267376319E-2</v>
      </c>
      <c r="D49" s="23">
        <f>PV(($B$36+A49/10000)/$B$38,$B$37*$B$38,-$B$34*$B$35/$B$38,-$B$34)/$B$41-1</f>
        <v>9.2221845518543732E-2</v>
      </c>
    </row>
    <row r="50" spans="1:4" x14ac:dyDescent="0.2">
      <c r="A50" s="31">
        <v>-100</v>
      </c>
      <c r="B50" s="23">
        <f>-$B$44*A50/10000</f>
        <v>4.3761672507409692E-2</v>
      </c>
      <c r="C50" s="23">
        <f>-$B$44*A50/10000+0.5*$B$45*(A50/10000)^2</f>
        <v>4.4892309820548926E-2</v>
      </c>
      <c r="D50" s="23">
        <f>PV(($B$36+A50/10000)/$B$38,$B$37*$B$38,-$B$34*$B$35/$B$38,-$B$34)/$B$41-1</f>
        <v>4.4912925031211248E-2</v>
      </c>
    </row>
    <row r="51" spans="1:4" x14ac:dyDescent="0.2">
      <c r="A51" s="31">
        <v>100</v>
      </c>
      <c r="B51" s="23">
        <f>-$B$44*A51/10000</f>
        <v>-4.3761672507409692E-2</v>
      </c>
      <c r="C51" s="23">
        <f>-$B$44*A51/10000+0.5*$B$45*(A51/10000)^2</f>
        <v>-4.2631035194270459E-2</v>
      </c>
      <c r="D51" s="23">
        <f>PV(($B$36+A51/10000)/$B$38,$B$37*$B$38,-$B$34*$B$35/$B$38,-$B$34)/$B$41-1</f>
        <v>-4.2651014183878955E-2</v>
      </c>
    </row>
    <row r="52" spans="1:4" x14ac:dyDescent="0.2">
      <c r="A52" s="31">
        <v>200</v>
      </c>
      <c r="B52" s="23">
        <f>-$B$44*A52/10000</f>
        <v>-8.7523345014819384E-2</v>
      </c>
      <c r="C52" s="23">
        <f>-$B$44*A52/10000+0.5*$B$45*(A52/10000)^2</f>
        <v>-8.300079576226245E-2</v>
      </c>
      <c r="D52" s="23">
        <f>PV(($B$36+A52/10000)/$B$38,$B$37*$B$38,-$B$34*$B$35/$B$38,-$B$34)/$B$41-1</f>
        <v>-8.3166053225779302E-2</v>
      </c>
    </row>
    <row r="54" spans="1:4" x14ac:dyDescent="0.2">
      <c r="A54" s="9" t="s">
        <v>158</v>
      </c>
    </row>
    <row r="55" spans="1:4" ht="16" x14ac:dyDescent="0.2">
      <c r="A55" s="4" t="s">
        <v>159</v>
      </c>
      <c r="B55" s="5" t="s">
        <v>160</v>
      </c>
    </row>
    <row r="56" spans="1:4" x14ac:dyDescent="0.2">
      <c r="A56" s="33">
        <v>0.01</v>
      </c>
      <c r="B56" s="19">
        <f t="shared" ref="B56:B64" si="0">PV((A56)/$B$38,$B$37*$B$38,-$B$34*$B$35/$B$38,-$B$34)</f>
        <v>1194.6082372157196</v>
      </c>
    </row>
    <row r="57" spans="1:4" x14ac:dyDescent="0.2">
      <c r="A57" s="33">
        <v>0.02</v>
      </c>
      <c r="B57" s="19">
        <f t="shared" si="0"/>
        <v>1142.0695679605253</v>
      </c>
    </row>
    <row r="58" spans="1:4" x14ac:dyDescent="0.2">
      <c r="A58" s="33">
        <v>0.03</v>
      </c>
      <c r="B58" s="19">
        <f t="shared" si="0"/>
        <v>1092.2218455185437</v>
      </c>
    </row>
    <row r="59" spans="1:4" x14ac:dyDescent="0.2">
      <c r="A59" s="33">
        <v>0.04</v>
      </c>
      <c r="B59" s="19">
        <f t="shared" si="0"/>
        <v>1044.9129250312112</v>
      </c>
    </row>
    <row r="60" spans="1:4" x14ac:dyDescent="0.2">
      <c r="A60" s="33">
        <v>0.05</v>
      </c>
      <c r="B60" s="19">
        <f t="shared" si="0"/>
        <v>999.99999999999989</v>
      </c>
    </row>
    <row r="61" spans="1:4" x14ac:dyDescent="0.2">
      <c r="A61" s="33">
        <v>0.06</v>
      </c>
      <c r="B61" s="19">
        <f t="shared" si="0"/>
        <v>957.34898581612094</v>
      </c>
    </row>
    <row r="62" spans="1:4" x14ac:dyDescent="0.2">
      <c r="A62" s="33">
        <v>7.0000000000000007E-2</v>
      </c>
      <c r="B62" s="19">
        <f t="shared" si="0"/>
        <v>916.83394677422064</v>
      </c>
    </row>
    <row r="63" spans="1:4" x14ac:dyDescent="0.2">
      <c r="A63" s="33">
        <v>0.08</v>
      </c>
      <c r="B63" s="19">
        <f t="shared" si="0"/>
        <v>878.33656330967449</v>
      </c>
    </row>
    <row r="64" spans="1:4" x14ac:dyDescent="0.2">
      <c r="A64" s="33">
        <v>0.09</v>
      </c>
      <c r="B64" s="19">
        <f t="shared" si="0"/>
        <v>841.74563645779688</v>
      </c>
    </row>
  </sheetData>
  <pageMargins left="0.75" right="0.75" top="1" bottom="1" header="0.5" footer="0.5"/>
  <pageSetup fitToHeight="0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W1004"/>
  <sheetViews>
    <sheetView topLeftCell="A7" workbookViewId="0">
      <selection activeCell="B22" sqref="B22"/>
    </sheetView>
  </sheetViews>
  <sheetFormatPr baseColWidth="10" defaultColWidth="8.83203125" defaultRowHeight="15" x14ac:dyDescent="0.2"/>
  <cols>
    <col min="1" max="1" width="50" customWidth="1"/>
    <col min="2" max="7" width="14" customWidth="1"/>
    <col min="8" max="8" width="3" customWidth="1"/>
    <col min="23" max="23" width="18" customWidth="1"/>
  </cols>
  <sheetData>
    <row r="1" spans="1:23" ht="19" x14ac:dyDescent="0.25">
      <c r="A1" s="1" t="s">
        <v>161</v>
      </c>
    </row>
    <row r="2" spans="1:23" x14ac:dyDescent="0.2">
      <c r="A2" s="2" t="s">
        <v>162</v>
      </c>
    </row>
    <row r="3" spans="1:23" x14ac:dyDescent="0.2">
      <c r="W3" s="9" t="s">
        <v>163</v>
      </c>
    </row>
    <row r="4" spans="1:23" ht="16" x14ac:dyDescent="0.2">
      <c r="A4" s="3" t="s">
        <v>164</v>
      </c>
      <c r="W4" s="34" t="s">
        <v>165</v>
      </c>
    </row>
    <row r="5" spans="1:23" ht="32" customHeight="1" x14ac:dyDescent="0.2">
      <c r="A5" s="4" t="s">
        <v>166</v>
      </c>
      <c r="B5" s="5" t="s">
        <v>167</v>
      </c>
      <c r="C5" s="5" t="s">
        <v>168</v>
      </c>
      <c r="D5" s="5" t="s">
        <v>169</v>
      </c>
      <c r="E5" s="5" t="s">
        <v>170</v>
      </c>
      <c r="F5" s="5" t="s">
        <v>171</v>
      </c>
      <c r="G5" s="5" t="s">
        <v>172</v>
      </c>
      <c r="W5" s="35">
        <v>1558416.6554709317</v>
      </c>
    </row>
    <row r="6" spans="1:23" x14ac:dyDescent="0.2">
      <c r="A6" s="7" t="s">
        <v>173</v>
      </c>
      <c r="B6" s="15">
        <v>0</v>
      </c>
      <c r="C6" s="15">
        <v>0</v>
      </c>
      <c r="D6" s="15">
        <v>0</v>
      </c>
      <c r="E6" s="15">
        <v>-0.2</v>
      </c>
      <c r="F6" s="15">
        <v>0.15</v>
      </c>
      <c r="G6" s="15">
        <v>-0.1</v>
      </c>
      <c r="W6" s="35">
        <v>1965410.8968489212</v>
      </c>
    </row>
    <row r="7" spans="1:23" x14ac:dyDescent="0.2">
      <c r="A7" s="7" t="s">
        <v>174</v>
      </c>
      <c r="B7" s="12">
        <v>0</v>
      </c>
      <c r="C7" s="12">
        <v>100</v>
      </c>
      <c r="D7" s="12">
        <v>-100</v>
      </c>
      <c r="E7" s="12">
        <v>0</v>
      </c>
      <c r="F7" s="12">
        <v>0</v>
      </c>
      <c r="G7" s="12">
        <v>50</v>
      </c>
      <c r="W7" s="35">
        <v>1756180.2289239767</v>
      </c>
    </row>
    <row r="8" spans="1:23" x14ac:dyDescent="0.2">
      <c r="A8" s="9" t="s">
        <v>175</v>
      </c>
      <c r="W8" s="35">
        <v>2480718.0502510946</v>
      </c>
    </row>
    <row r="9" spans="1:23" x14ac:dyDescent="0.2">
      <c r="A9" s="7" t="str">
        <f>Inputs!A6</f>
        <v>LMT</v>
      </c>
      <c r="B9" s="22">
        <f>Portfolio!$E$6*B$6</f>
        <v>0</v>
      </c>
      <c r="C9" s="22">
        <f>Portfolio!$E$6*C$6</f>
        <v>0</v>
      </c>
      <c r="D9" s="22">
        <f>Portfolio!$E$6*D$6</f>
        <v>0</v>
      </c>
      <c r="E9" s="22">
        <f>Portfolio!$E$6*E$6</f>
        <v>-0.1282552927612497</v>
      </c>
      <c r="F9" s="22">
        <f>Portfolio!$E$6*F$6</f>
        <v>9.6191469570937271E-2</v>
      </c>
      <c r="G9" s="22">
        <f>Portfolio!$E$6*G$6</f>
        <v>-6.4127646380624848E-2</v>
      </c>
      <c r="W9" s="35">
        <v>1912475.6230446112</v>
      </c>
    </row>
    <row r="10" spans="1:23" x14ac:dyDescent="0.2">
      <c r="A10" s="7" t="str">
        <f>Inputs!A7</f>
        <v>TXN</v>
      </c>
      <c r="B10" s="22">
        <f>Portfolio!$E$7*B$6</f>
        <v>0</v>
      </c>
      <c r="C10" s="22">
        <f>Portfolio!$E$7*C$6</f>
        <v>0</v>
      </c>
      <c r="D10" s="22">
        <f>Portfolio!$E$7*D$6</f>
        <v>0</v>
      </c>
      <c r="E10" s="22">
        <f>Portfolio!$E$7*E$6</f>
        <v>-0.20280593066098326</v>
      </c>
      <c r="F10" s="22">
        <f>Portfolio!$E$7*F$6</f>
        <v>0.15210444799573744</v>
      </c>
      <c r="G10" s="22">
        <f>Portfolio!$E$7*G$6</f>
        <v>-0.10140296533049163</v>
      </c>
      <c r="W10" s="35">
        <v>966172.46059380518</v>
      </c>
    </row>
    <row r="11" spans="1:23" x14ac:dyDescent="0.2">
      <c r="A11" s="7" t="str">
        <f>Inputs!A8</f>
        <v>KO</v>
      </c>
      <c r="B11" s="22">
        <f>Portfolio!$E$8*B$6</f>
        <v>0</v>
      </c>
      <c r="C11" s="22">
        <f>Portfolio!$E$8*C$6</f>
        <v>0</v>
      </c>
      <c r="D11" s="22">
        <f>Portfolio!$E$8*D$6</f>
        <v>0</v>
      </c>
      <c r="E11" s="22">
        <f>Portfolio!$E$8*E$6</f>
        <v>-0.12536158475297379</v>
      </c>
      <c r="F11" s="22">
        <f>Portfolio!$E$8*F$6</f>
        <v>9.4021188564730337E-2</v>
      </c>
      <c r="G11" s="22">
        <f>Portfolio!$E$8*G$6</f>
        <v>-6.2680792376486896E-2</v>
      </c>
      <c r="W11" s="35">
        <v>2328814.4305698462</v>
      </c>
    </row>
    <row r="12" spans="1:23" x14ac:dyDescent="0.2">
      <c r="A12" s="7" t="str">
        <f>Inputs!A9</f>
        <v>UST 5Y</v>
      </c>
      <c r="B12" s="22">
        <f>-'Valuation and Bond'!$B$44*B$7/10000+0.5*'Valuation and Bond'!$B$45*(B$7/10000)^2</f>
        <v>0</v>
      </c>
      <c r="C12" s="22">
        <f>-'Valuation and Bond'!$B$44*C$7/10000+0.5*'Valuation and Bond'!$B$45*(C$7/10000)^2</f>
        <v>-4.2631035194270459E-2</v>
      </c>
      <c r="D12" s="22">
        <f>-'Valuation and Bond'!$B$44*D$7/10000+0.5*'Valuation and Bond'!$B$45*(D$7/10000)^2</f>
        <v>4.4892309820548926E-2</v>
      </c>
      <c r="E12" s="22">
        <f>-'Valuation and Bond'!$B$44*E$7/10000+0.5*'Valuation and Bond'!$B$45*(E$7/10000)^2</f>
        <v>0</v>
      </c>
      <c r="F12" s="22">
        <f>-'Valuation and Bond'!$B$44*F$7/10000+0.5*'Valuation and Bond'!$B$45*(F$7/10000)^2</f>
        <v>0</v>
      </c>
      <c r="G12" s="22">
        <f>-'Valuation and Bond'!$B$44*G$7/10000+0.5*'Valuation and Bond'!$B$45*(G$7/10000)^2</f>
        <v>-2.1598176925420039E-2</v>
      </c>
      <c r="W12" s="35">
        <v>1391398.6008133667</v>
      </c>
    </row>
    <row r="13" spans="1:23" x14ac:dyDescent="0.2">
      <c r="A13" s="9" t="s">
        <v>176</v>
      </c>
      <c r="B13" s="24">
        <f>SUMPRODUCT(Portfolio!$B$6:$B$9,B9:B12)</f>
        <v>0</v>
      </c>
      <c r="C13" s="24">
        <f>SUMPRODUCT(Portfolio!$B$6:$B$9,C9:C12)</f>
        <v>-8.5262070388540927E-3</v>
      </c>
      <c r="D13" s="24">
        <f>SUMPRODUCT(Portfolio!$B$6:$B$9,D9:D12)</f>
        <v>8.9784619641097851E-3</v>
      </c>
      <c r="E13" s="24">
        <f>SUMPRODUCT(Portfolio!$B$6:$B$9,E9:E12)</f>
        <v>-0.12622931826311873</v>
      </c>
      <c r="F13" s="24">
        <f>SUMPRODUCT(Portfolio!$B$6:$B$9,F9:F12)</f>
        <v>9.4671988697339046E-2</v>
      </c>
      <c r="G13" s="24">
        <f>SUMPRODUCT(Portfolio!$B$6:$B$9,G9:G12)</f>
        <v>-6.7434294516643373E-2</v>
      </c>
      <c r="W13" s="35">
        <v>1606272.4324172805</v>
      </c>
    </row>
    <row r="14" spans="1:23" x14ac:dyDescent="0.2">
      <c r="A14" s="9" t="s">
        <v>177</v>
      </c>
      <c r="B14" s="24">
        <f>B13+IF($B$19="Yes",($B$22*MAX($B$29-(1+B$6),0)-$B$34)/Inputs!$B$16,0)</f>
        <v>-2.2078964892899072E-3</v>
      </c>
      <c r="C14" s="24">
        <f>C13+IF($B$19="Yes",($B$22*MAX($B$29-(1+C$6),0)-$B$34)/Inputs!$B$16,0)</f>
        <v>-1.0734103528143999E-2</v>
      </c>
      <c r="D14" s="24">
        <f>D13+IF($B$19="Yes",($B$22*MAX($B$29-(1+D$6),0)-$B$34)/Inputs!$B$16,0)</f>
        <v>6.770565474819878E-3</v>
      </c>
      <c r="E14" s="24">
        <f>E13+IF($B$19="Yes",($B$22*MAX($B$29-(1+E$6),0)-$B$34)/Inputs!$B$16,0)</f>
        <v>-0.12843721475240863</v>
      </c>
      <c r="F14" s="24">
        <f>F13+IF($B$19="Yes",($B$22*MAX($B$29-(1+F$6),0)-$B$34)/Inputs!$B$16,0)</f>
        <v>9.2464092208049145E-2</v>
      </c>
      <c r="G14" s="24">
        <f>G13+IF($B$19="Yes",($B$22*MAX($B$29-(1+G$6),0)-$B$34)/Inputs!$B$16,0)</f>
        <v>-6.9642191005933274E-2</v>
      </c>
      <c r="W14" s="35">
        <v>1788982.6649255112</v>
      </c>
    </row>
    <row r="15" spans="1:23" x14ac:dyDescent="0.2">
      <c r="A15" s="9" t="s">
        <v>178</v>
      </c>
      <c r="B15" s="36">
        <f>B14*Inputs!$B$16</f>
        <v>-2207.8964892899071</v>
      </c>
      <c r="C15" s="36">
        <f>C14*Inputs!$B$16</f>
        <v>-10734.103528144</v>
      </c>
      <c r="D15" s="36">
        <f>D14*Inputs!$B$16</f>
        <v>6770.5654748198776</v>
      </c>
      <c r="E15" s="36">
        <f>E14*Inputs!$B$16</f>
        <v>-128437.21475240863</v>
      </c>
      <c r="F15" s="36">
        <f>F14*Inputs!$B$16</f>
        <v>92464.092208049144</v>
      </c>
      <c r="G15" s="36">
        <f>G14*Inputs!$B$16</f>
        <v>-69642.191005933273</v>
      </c>
      <c r="W15" s="35">
        <v>1285499.0683697497</v>
      </c>
    </row>
    <row r="16" spans="1:23" x14ac:dyDescent="0.2">
      <c r="A16" s="2" t="s">
        <v>179</v>
      </c>
      <c r="W16" s="35">
        <v>1388106.4404687691</v>
      </c>
    </row>
    <row r="17" spans="1:23" x14ac:dyDescent="0.2">
      <c r="W17" s="35">
        <v>2616672.7341448963</v>
      </c>
    </row>
    <row r="18" spans="1:23" ht="16" x14ac:dyDescent="0.2">
      <c r="A18" s="3" t="s">
        <v>180</v>
      </c>
      <c r="W18" s="35">
        <v>1356366.6880897365</v>
      </c>
    </row>
    <row r="19" spans="1:23" x14ac:dyDescent="0.2">
      <c r="A19" s="7" t="s">
        <v>181</v>
      </c>
      <c r="B19" s="37" t="str">
        <f>Inputs!B28</f>
        <v>Yes</v>
      </c>
      <c r="W19" s="35">
        <v>3820766.4965450843</v>
      </c>
    </row>
    <row r="20" spans="1:23" x14ac:dyDescent="0.2">
      <c r="A20" s="7" t="s">
        <v>81</v>
      </c>
      <c r="B20" s="38">
        <f>Inputs!B30</f>
        <v>1</v>
      </c>
      <c r="W20" s="35">
        <v>2514547.7186216684</v>
      </c>
    </row>
    <row r="21" spans="1:23" x14ac:dyDescent="0.2">
      <c r="A21" s="7" t="s">
        <v>182</v>
      </c>
      <c r="B21" s="39">
        <f>SUMPRODUCT(Portfolio!B6:B8,Portfolio!E6:E8)</f>
        <v>0.63114659131559359</v>
      </c>
      <c r="W21" s="35">
        <v>1377049.8294225615</v>
      </c>
    </row>
    <row r="22" spans="1:23" x14ac:dyDescent="0.2">
      <c r="A22" s="7" t="s">
        <v>183</v>
      </c>
      <c r="B22" s="35">
        <f>B21*Inputs!$B$16*B20</f>
        <v>631146.59131559357</v>
      </c>
      <c r="W22" s="35">
        <v>1406915.5474719256</v>
      </c>
    </row>
    <row r="23" spans="1:23" x14ac:dyDescent="0.2">
      <c r="A23" s="7" t="s">
        <v>184</v>
      </c>
      <c r="B23" s="23">
        <f>Portfolio!D10</f>
        <v>0.17119302901329994</v>
      </c>
      <c r="W23" s="35">
        <v>2539388.5819500294</v>
      </c>
    </row>
    <row r="24" spans="1:23" x14ac:dyDescent="0.2">
      <c r="A24" s="7" t="s">
        <v>54</v>
      </c>
      <c r="B24" s="23">
        <f>Inputs!$B$14</f>
        <v>0.05</v>
      </c>
      <c r="W24" s="35">
        <v>1205153.5296156539</v>
      </c>
    </row>
    <row r="25" spans="1:23" x14ac:dyDescent="0.2">
      <c r="A25" s="7" t="s">
        <v>185</v>
      </c>
      <c r="B25" s="23">
        <f>Inputs!$B$14+Inputs!$B$15</f>
        <v>0.1</v>
      </c>
      <c r="W25" s="35">
        <v>3372000.9639287521</v>
      </c>
    </row>
    <row r="26" spans="1:23" x14ac:dyDescent="0.2">
      <c r="A26" s="7" t="s">
        <v>186</v>
      </c>
      <c r="B26" s="12">
        <v>1</v>
      </c>
      <c r="W26" s="35">
        <v>1833045.4966004449</v>
      </c>
    </row>
    <row r="27" spans="1:23" x14ac:dyDescent="0.2">
      <c r="W27" s="35">
        <v>2448400.4617503327</v>
      </c>
    </row>
    <row r="28" spans="1:23" ht="16" x14ac:dyDescent="0.2">
      <c r="A28" s="4"/>
      <c r="B28" s="5" t="s">
        <v>187</v>
      </c>
      <c r="C28" s="5" t="s">
        <v>188</v>
      </c>
      <c r="D28" s="5" t="s">
        <v>188</v>
      </c>
      <c r="E28" s="5" t="s">
        <v>188</v>
      </c>
      <c r="F28" s="5" t="s">
        <v>188</v>
      </c>
      <c r="W28" s="35">
        <v>2738239.2740684729</v>
      </c>
    </row>
    <row r="29" spans="1:23" x14ac:dyDescent="0.2">
      <c r="A29" s="7" t="s">
        <v>79</v>
      </c>
      <c r="B29" s="38">
        <f>Inputs!B29</f>
        <v>0.8</v>
      </c>
      <c r="C29" s="15">
        <v>0.7</v>
      </c>
      <c r="D29" s="15">
        <v>0.9</v>
      </c>
      <c r="E29" s="15">
        <v>0.95</v>
      </c>
      <c r="F29" s="15">
        <v>1</v>
      </c>
      <c r="W29" s="35">
        <v>2456814.7540790448</v>
      </c>
    </row>
    <row r="30" spans="1:23" x14ac:dyDescent="0.2">
      <c r="A30" s="7" t="s">
        <v>189</v>
      </c>
      <c r="B30" s="39">
        <f>(LN(1/B29)+($B$24+$B$23^2/2)*$B$26)/($B$23*SQRT($B$26))</f>
        <v>1.681126150780504</v>
      </c>
      <c r="C30" s="39">
        <f>(LN(1/C29)+($B$24+$B$23^2/2)*$B$26)/($B$23*SQRT($B$26))</f>
        <v>2.4611309990745815</v>
      </c>
      <c r="D30" s="39">
        <f>(LN(1/D29)+($B$24+$B$23^2/2)*$B$26)/($B$23*SQRT($B$26))</f>
        <v>0.99311311464669683</v>
      </c>
      <c r="E30" s="39">
        <f>(LN(1/E29)+($B$24+$B$23^2/2)*$B$26)/($B$23*SQRT($B$26))</f>
        <v>0.6772870463663383</v>
      </c>
      <c r="F30" s="39">
        <f>(LN(1/F29)+($B$24+$B$23^2/2)*$B$26)/($B$23*SQRT($B$26))</f>
        <v>0.37766448180755868</v>
      </c>
      <c r="W30" s="35">
        <v>1656553.7322839629</v>
      </c>
    </row>
    <row r="31" spans="1:23" x14ac:dyDescent="0.2">
      <c r="A31" s="7" t="s">
        <v>190</v>
      </c>
      <c r="B31" s="39">
        <f>B30-($B$23*SQRT($B$26))</f>
        <v>1.5099331217672041</v>
      </c>
      <c r="C31" s="39">
        <f>C30-($B$23*SQRT($B$26))</f>
        <v>2.2899379700612816</v>
      </c>
      <c r="D31" s="39">
        <f>D30-($B$23*SQRT($B$26))</f>
        <v>0.82192008563339691</v>
      </c>
      <c r="E31" s="39">
        <f>E30-($B$23*SQRT($B$26))</f>
        <v>0.50609401735303838</v>
      </c>
      <c r="F31" s="39">
        <f>F30-($B$23*SQRT($B$26))</f>
        <v>0.20647145279425874</v>
      </c>
      <c r="W31" s="35">
        <v>1571104.3174505215</v>
      </c>
    </row>
    <row r="32" spans="1:23" x14ac:dyDescent="0.2">
      <c r="A32" s="7" t="s">
        <v>191</v>
      </c>
      <c r="B32" s="23">
        <f>B29*EXP(-$B$24*$B$26)*NORMSDIST(-B31)-NORMSDIST(-B30)</f>
        <v>3.4982308700862302E-3</v>
      </c>
      <c r="C32" s="23">
        <f>C29*EXP(-$B$24*$B$26)*NORMSDIST(-C31)-NORMSDIST(-C30)</f>
        <v>4.0777148536194803E-4</v>
      </c>
      <c r="D32" s="23">
        <f>D29*EXP(-$B$24*$B$26)*NORMSDIST(-D31)-NORMSDIST(-D30)</f>
        <v>1.5654850735445008E-2</v>
      </c>
      <c r="E32" s="23">
        <f>E29*EXP(-$B$24*$B$26)*NORMSDIST(-E31)-NORMSDIST(-E30)</f>
        <v>2.7767712318780724E-2</v>
      </c>
      <c r="F32" s="23">
        <f>F29*EXP(-$B$24*$B$26)*NORMSDIST(-F31)-NORMSDIST(-F30)</f>
        <v>4.4974995360013537E-2</v>
      </c>
      <c r="W32" s="35">
        <v>7055625.1268274328</v>
      </c>
    </row>
    <row r="33" spans="1:23" x14ac:dyDescent="0.2">
      <c r="A33" s="7" t="s">
        <v>192</v>
      </c>
      <c r="B33" s="23">
        <f>B29*NORMSDIST(-(((LN(1/B29)+($B$25+$B$23^2/2)*$B$26)/($B$23*SQRT($B$26)))-($B$23*SQRT($B$26))))-EXP($B$25*$B$26)*NORMSDIST(-((LN(1/B29)+($B$25+$B$23^2/2)*$B$26)/($B$23*SQRT($B$26))))</f>
        <v>1.832369866294814E-3</v>
      </c>
      <c r="C33" s="23">
        <f>C29*NORMSDIST(-(((LN(1/C29)+($B$25+$B$23^2/2)*$B$26)/($B$23*SQRT($B$26)))-($B$23*SQRT($B$26))))-EXP($B$25*$B$26)*NORMSDIST(-((LN(1/C29)+($B$25+$B$23^2/2)*$B$26)/($B$23*SQRT($B$26))))</f>
        <v>1.7683702492280167E-4</v>
      </c>
      <c r="D33" s="23">
        <f>D29*NORMSDIST(-(((LN(1/D29)+($B$25+$B$23^2/2)*$B$26)/($B$23*SQRT($B$26)))-($B$23*SQRT($B$26))))-EXP($B$25*$B$26)*NORMSDIST(-((LN(1/D29)+($B$25+$B$23^2/2)*$B$26)/($B$23*SQRT($B$26))))</f>
        <v>9.5631776048361039E-3</v>
      </c>
      <c r="E33" s="23">
        <f>E29*NORMSDIST(-(((LN(1/E29)+($B$25+$B$23^2/2)*$B$26)/($B$23*SQRT($B$26)))-($B$23*SQRT($B$26))))-EXP($B$25*$B$26)*NORMSDIST(-((LN(1/E29)+($B$25+$B$23^2/2)*$B$26)/($B$23*SQRT($B$26))))</f>
        <v>1.8107061751498843E-2</v>
      </c>
      <c r="F33" s="23">
        <f>F29*NORMSDIST(-(((LN(1/F29)+($B$25+$B$23^2/2)*$B$26)/($B$23*SQRT($B$26)))-($B$23*SQRT($B$26))))-EXP($B$25*$B$26)*NORMSDIST(-((LN(1/F29)+($B$25+$B$23^2/2)*$B$26)/($B$23*SQRT($B$26))))</f>
        <v>3.108578741120116E-2</v>
      </c>
      <c r="W33" s="35">
        <v>2775932.8318183264</v>
      </c>
    </row>
    <row r="34" spans="1:23" x14ac:dyDescent="0.2">
      <c r="A34" s="9" t="s">
        <v>193</v>
      </c>
      <c r="B34" s="36">
        <f>B32*$B$22</f>
        <v>2207.8964892899071</v>
      </c>
      <c r="C34" s="36">
        <f>C32*$B$22</f>
        <v>257.36358302188995</v>
      </c>
      <c r="D34" s="36">
        <f>D32*$B$22</f>
        <v>9880.5056792305295</v>
      </c>
      <c r="E34" s="36">
        <f>E32*$B$22</f>
        <v>17525.496978630472</v>
      </c>
      <c r="F34" s="36">
        <f>F32*$B$22</f>
        <v>28385.815015907181</v>
      </c>
      <c r="W34" s="35">
        <v>2636422.367066728</v>
      </c>
    </row>
    <row r="35" spans="1:23" x14ac:dyDescent="0.2">
      <c r="A35" s="9" t="s">
        <v>194</v>
      </c>
      <c r="B35" s="40">
        <f>IF($B$20&gt;=1,(B34+$B$22*(1-B29))/Inputs!$B$16,"no cap")</f>
        <v>0.1284372147524086</v>
      </c>
      <c r="C35" s="40">
        <f>IF($B$20&gt;=1,(C34+$B$22*(1-C29))/Inputs!$B$16,"no cap")</f>
        <v>0.18960134097769998</v>
      </c>
      <c r="D35" s="40">
        <f>IF($B$20&gt;=1,(D34+$B$22*(1-D29))/Inputs!$B$16,"no cap")</f>
        <v>7.2995164810789867E-2</v>
      </c>
      <c r="E35" s="40">
        <f>IF($B$20&gt;=1,(E34+$B$22*(1-E29))/Inputs!$B$16,"no cap")</f>
        <v>4.908282654441018E-2</v>
      </c>
      <c r="F35" s="40">
        <f>IF($B$20&gt;=1,(F34+$B$22*(1-F29))/Inputs!$B$16,"no cap")</f>
        <v>2.838581501590718E-2</v>
      </c>
      <c r="W35" s="35">
        <v>1694728.0133003488</v>
      </c>
    </row>
    <row r="36" spans="1:23" x14ac:dyDescent="0.2">
      <c r="A36" s="9" t="s">
        <v>195</v>
      </c>
      <c r="B36" s="10">
        <f>(B32*EXP($B$24*$B$26)-B33)*$B$21*$B$20/$B$26</f>
        <v>1.1646037678391937E-3</v>
      </c>
      <c r="C36" s="10">
        <f>(C32*EXP($B$24*$B$26)-C33)*$B$21*$B$20/$B$26</f>
        <v>1.589488105922672E-4</v>
      </c>
      <c r="D36" s="10">
        <f>(D32*EXP($B$24*$B$26)-D33)*$B$21*$B$20/$B$26</f>
        <v>4.3513230907162841E-3</v>
      </c>
      <c r="E36" s="10">
        <f>(E32*EXP($B$24*$B$26)-E33)*$B$21*$B$20/$B$26</f>
        <v>6.9958381200600972E-3</v>
      </c>
      <c r="F36" s="10">
        <f>(F32*EXP($B$24*$B$26)-F33)*$B$21*$B$20/$B$26</f>
        <v>1.0221498110358947E-2</v>
      </c>
      <c r="W36" s="35">
        <v>1738478.0174327977</v>
      </c>
    </row>
    <row r="37" spans="1:23" x14ac:dyDescent="0.2">
      <c r="A37" s="9" t="s">
        <v>196</v>
      </c>
      <c r="B37" s="10">
        <f>$B$40-B36</f>
        <v>8.0515978518822806E-2</v>
      </c>
      <c r="C37" s="10">
        <f>$B$40-C36</f>
        <v>8.1521633476069735E-2</v>
      </c>
      <c r="D37" s="10">
        <f>$B$40-D36</f>
        <v>7.7329259195945715E-2</v>
      </c>
      <c r="E37" s="10">
        <f>$B$40-E36</f>
        <v>7.468474416660191E-2</v>
      </c>
      <c r="F37" s="10">
        <f>$B$40-F36</f>
        <v>7.1459084176303062E-2</v>
      </c>
      <c r="W37" s="35">
        <v>1592887.3968663579</v>
      </c>
    </row>
    <row r="38" spans="1:23" x14ac:dyDescent="0.2">
      <c r="A38" s="7" t="s">
        <v>197</v>
      </c>
      <c r="B38" s="37" t="str">
        <f>IF(B37&gt;=Inputs!$B$20-0.000001,"Yes","No")</f>
        <v>Yes</v>
      </c>
      <c r="C38" s="37" t="str">
        <f>IF(C37&gt;=Inputs!$B$20-0.000001,"Yes","No")</f>
        <v>Yes</v>
      </c>
      <c r="D38" s="37" t="str">
        <f>IF(D37&gt;=Inputs!$B$20-0.000001,"Yes","No")</f>
        <v>No</v>
      </c>
      <c r="E38" s="37" t="str">
        <f>IF(E37&gt;=Inputs!$B$20-0.000001,"Yes","No")</f>
        <v>No</v>
      </c>
      <c r="F38" s="37" t="str">
        <f>IF(F37&gt;=Inputs!$B$20-0.000001,"Yes","No")</f>
        <v>No</v>
      </c>
      <c r="W38" s="35">
        <v>1947414.2653939745</v>
      </c>
    </row>
    <row r="39" spans="1:23" x14ac:dyDescent="0.2">
      <c r="W39" s="35">
        <v>1549023.4078039606</v>
      </c>
    </row>
    <row r="40" spans="1:23" x14ac:dyDescent="0.2">
      <c r="A40" s="7" t="s">
        <v>198</v>
      </c>
      <c r="B40" s="23">
        <f>Portfolio!F11</f>
        <v>8.1680582286662001E-2</v>
      </c>
      <c r="W40" s="35">
        <v>1678559.2601826608</v>
      </c>
    </row>
    <row r="41" spans="1:23" x14ac:dyDescent="0.2">
      <c r="A41" s="9" t="s">
        <v>199</v>
      </c>
      <c r="B41" s="10">
        <f>B40-IF(B19="Yes",B36,0)</f>
        <v>8.0515978518822806E-2</v>
      </c>
      <c r="W41" s="35">
        <v>1691328.6376933819</v>
      </c>
    </row>
    <row r="42" spans="1:23" x14ac:dyDescent="0.2">
      <c r="A42" s="7" t="s">
        <v>200</v>
      </c>
      <c r="B42" s="35">
        <f>IF(B19="Yes",B34,0)</f>
        <v>2207.8964892899071</v>
      </c>
      <c r="W42" s="35">
        <v>2533429.7705485504</v>
      </c>
    </row>
    <row r="43" spans="1:23" x14ac:dyDescent="0.2">
      <c r="A43" s="7" t="s">
        <v>7</v>
      </c>
      <c r="B43" s="41">
        <f>IF(B19="Yes",B35,"no cap")</f>
        <v>0.1284372147524086</v>
      </c>
      <c r="W43" s="35">
        <v>2750166.3822075035</v>
      </c>
    </row>
    <row r="44" spans="1:23" x14ac:dyDescent="0.2">
      <c r="A44" s="9" t="str">
        <f>IF(B19="Yes","With the put, the loss coming from the S&amp;P 500 stops at "&amp;TEXT(B43,"0.0%")&amp;" of the portfolio and the expected return is "&amp;TEXT(B41,"0.00%")&amp;" (target "&amp;TEXT(Inputs!$B$20,"0%")&amp;"). The put costs "&amp;TEXT(B36*100,"0.00")&amp;" points a year.","No put: the expected return is "&amp;TEXT(B41,"0.00%")&amp;" and an S&amp;P 500 fall of 40% would cost about "&amp;TEXT(B21*0.4,"0.0%")&amp;" of the portfolio.")</f>
        <v>With the put, the loss coming from the S&amp;P 500 stops at 12.8% of the portfolio and the expected return is 8.05% (target 8%). The put costs 0.12 points a year.</v>
      </c>
      <c r="W44" s="35">
        <v>2608960.7208357621</v>
      </c>
    </row>
    <row r="45" spans="1:23" x14ac:dyDescent="0.2">
      <c r="W45" s="35">
        <v>1053499.4054380273</v>
      </c>
    </row>
    <row r="46" spans="1:23" ht="16" x14ac:dyDescent="0.2">
      <c r="A46" s="3" t="s">
        <v>201</v>
      </c>
      <c r="W46" s="35">
        <v>1315940.0353677368</v>
      </c>
    </row>
    <row r="47" spans="1:23" x14ac:dyDescent="0.2">
      <c r="A47" s="2" t="s">
        <v>202</v>
      </c>
      <c r="W47" s="35">
        <v>2042456.5837896117</v>
      </c>
    </row>
    <row r="48" spans="1:23" ht="16" x14ac:dyDescent="0.2">
      <c r="A48" s="4" t="s">
        <v>173</v>
      </c>
      <c r="B48" s="5" t="s">
        <v>203</v>
      </c>
      <c r="C48" s="5" t="s">
        <v>204</v>
      </c>
      <c r="D48" s="5" t="s">
        <v>205</v>
      </c>
      <c r="W48" s="35">
        <v>1103818.2045104958</v>
      </c>
    </row>
    <row r="49" spans="1:23" x14ac:dyDescent="0.2">
      <c r="A49" s="33">
        <v>-0.4</v>
      </c>
      <c r="B49" s="22">
        <f t="shared" ref="B49:B57" si="0">$B$21*A49</f>
        <v>-0.25245863652623746</v>
      </c>
      <c r="C49" s="22">
        <f>$B$22/Inputs!$B$16*MAX($B$29-(1+A49),0)</f>
        <v>0.12622931826311876</v>
      </c>
      <c r="D49" s="24">
        <f>B49+C49-$B$34/Inputs!$B$16</f>
        <v>-0.1284372147524086</v>
      </c>
      <c r="W49" s="35">
        <v>1488889.0987793428</v>
      </c>
    </row>
    <row r="50" spans="1:23" x14ac:dyDescent="0.2">
      <c r="A50" s="33">
        <v>-0.3</v>
      </c>
      <c r="B50" s="22">
        <f t="shared" si="0"/>
        <v>-0.18934397739467806</v>
      </c>
      <c r="C50" s="22">
        <f>$B$22/Inputs!$B$16*MAX($B$29-(1+A50),0)</f>
        <v>6.311465913155942E-2</v>
      </c>
      <c r="D50" s="24">
        <f>B50+C50-$B$34/Inputs!$B$16</f>
        <v>-0.12843721475240855</v>
      </c>
      <c r="W50" s="35">
        <v>4646551.2304406632</v>
      </c>
    </row>
    <row r="51" spans="1:23" x14ac:dyDescent="0.2">
      <c r="A51" s="33">
        <v>-0.2</v>
      </c>
      <c r="B51" s="22">
        <f t="shared" si="0"/>
        <v>-0.12622931826311873</v>
      </c>
      <c r="C51" s="22">
        <f>$B$22/Inputs!$B$16*MAX($B$29-(1+A51),0)</f>
        <v>0</v>
      </c>
      <c r="D51" s="24">
        <f>B51+C51-$B$34/Inputs!$B$16</f>
        <v>-0.12843721475240863</v>
      </c>
      <c r="W51" s="35">
        <v>1849428.4649827674</v>
      </c>
    </row>
    <row r="52" spans="1:23" x14ac:dyDescent="0.2">
      <c r="A52" s="33">
        <v>-0.1</v>
      </c>
      <c r="B52" s="22">
        <f t="shared" si="0"/>
        <v>-6.3114659131559364E-2</v>
      </c>
      <c r="C52" s="22">
        <f>$B$22/Inputs!$B$16*MAX($B$29-(1+A52),0)</f>
        <v>0</v>
      </c>
      <c r="D52" s="24">
        <f>B52+C52-$B$34/Inputs!$B$16</f>
        <v>-6.5322555620849265E-2</v>
      </c>
      <c r="W52" s="35">
        <v>2441628.109700596</v>
      </c>
    </row>
    <row r="53" spans="1:23" x14ac:dyDescent="0.2">
      <c r="A53" s="33">
        <v>0</v>
      </c>
      <c r="B53" s="22">
        <f t="shared" si="0"/>
        <v>0</v>
      </c>
      <c r="C53" s="22">
        <f>$B$22/Inputs!$B$16*MAX($B$29-(1+A53),0)</f>
        <v>0</v>
      </c>
      <c r="D53" s="24">
        <f>B53+C53-$B$34/Inputs!$B$16</f>
        <v>-2.2078964892899072E-3</v>
      </c>
      <c r="W53" s="35">
        <v>3425847.4129720815</v>
      </c>
    </row>
    <row r="54" spans="1:23" x14ac:dyDescent="0.2">
      <c r="A54" s="33">
        <v>0.1</v>
      </c>
      <c r="B54" s="22">
        <f t="shared" si="0"/>
        <v>6.3114659131559364E-2</v>
      </c>
      <c r="C54" s="22">
        <f>$B$22/Inputs!$B$16*MAX($B$29-(1+A54),0)</f>
        <v>0</v>
      </c>
      <c r="D54" s="24">
        <f>B54+C54-$B$34/Inputs!$B$16</f>
        <v>6.0906762642269456E-2</v>
      </c>
      <c r="W54" s="35">
        <v>1660255.9025621838</v>
      </c>
    </row>
    <row r="55" spans="1:23" x14ac:dyDescent="0.2">
      <c r="A55" s="33">
        <v>0.2</v>
      </c>
      <c r="B55" s="22">
        <f t="shared" si="0"/>
        <v>0.12622931826311873</v>
      </c>
      <c r="C55" s="22">
        <f>$B$22/Inputs!$B$16*MAX($B$29-(1+A55),0)</f>
        <v>0</v>
      </c>
      <c r="D55" s="24">
        <f>B55+C55-$B$34/Inputs!$B$16</f>
        <v>0.12402142177382883</v>
      </c>
      <c r="W55" s="35">
        <v>3151118.4184097522</v>
      </c>
    </row>
    <row r="56" spans="1:23" x14ac:dyDescent="0.2">
      <c r="A56" s="33">
        <v>0.3</v>
      </c>
      <c r="B56" s="22">
        <f t="shared" si="0"/>
        <v>0.18934397739467806</v>
      </c>
      <c r="C56" s="22">
        <f>$B$22/Inputs!$B$16*MAX($B$29-(1+A56),0)</f>
        <v>0</v>
      </c>
      <c r="D56" s="24">
        <f>B56+C56-$B$34/Inputs!$B$16</f>
        <v>0.18713608090538816</v>
      </c>
      <c r="W56" s="35">
        <v>1342132.7568555302</v>
      </c>
    </row>
    <row r="57" spans="1:23" x14ac:dyDescent="0.2">
      <c r="A57" s="33">
        <v>0.4</v>
      </c>
      <c r="B57" s="22">
        <f t="shared" si="0"/>
        <v>0.25245863652623746</v>
      </c>
      <c r="C57" s="22">
        <f>$B$22/Inputs!$B$16*MAX($B$29-(1+A57),0)</f>
        <v>0</v>
      </c>
      <c r="D57" s="24">
        <f>B57+C57-$B$34/Inputs!$B$16</f>
        <v>0.25025074003694753</v>
      </c>
      <c r="W57" s="35">
        <v>1440388.011498295</v>
      </c>
    </row>
    <row r="58" spans="1:23" x14ac:dyDescent="0.2">
      <c r="W58" s="35">
        <v>2953812.5154872569</v>
      </c>
    </row>
    <row r="59" spans="1:23" ht="16" x14ac:dyDescent="0.2">
      <c r="A59" s="3" t="s">
        <v>206</v>
      </c>
      <c r="W59" s="35">
        <v>1280838.4108460711</v>
      </c>
    </row>
    <row r="60" spans="1:23" x14ac:dyDescent="0.2">
      <c r="A60" s="2" t="s">
        <v>207</v>
      </c>
      <c r="W60" s="35">
        <v>1573597.509793177</v>
      </c>
    </row>
    <row r="61" spans="1:23" x14ac:dyDescent="0.2">
      <c r="A61" s="7" t="s">
        <v>208</v>
      </c>
      <c r="B61" s="12">
        <v>10</v>
      </c>
      <c r="W61" s="35">
        <v>4551878.8542674137</v>
      </c>
    </row>
    <row r="62" spans="1:23" x14ac:dyDescent="0.2">
      <c r="A62" s="7" t="s">
        <v>209</v>
      </c>
      <c r="B62" s="11">
        <v>1000</v>
      </c>
      <c r="W62" s="35">
        <v>2398737.9425744377</v>
      </c>
    </row>
    <row r="63" spans="1:23" x14ac:dyDescent="0.2">
      <c r="A63" s="7" t="s">
        <v>210</v>
      </c>
      <c r="B63" s="35">
        <f>Inputs!$B$16</f>
        <v>1000000</v>
      </c>
      <c r="W63" s="35">
        <v>2409021.8455072218</v>
      </c>
    </row>
    <row r="64" spans="1:23" x14ac:dyDescent="0.2">
      <c r="A64" s="7" t="s">
        <v>211</v>
      </c>
      <c r="B64" s="23">
        <f>Portfolio!F11</f>
        <v>8.1680582286662001E-2</v>
      </c>
      <c r="W64" s="35">
        <v>4720697.1108181663</v>
      </c>
    </row>
    <row r="65" spans="1:23" x14ac:dyDescent="0.2">
      <c r="A65" s="7" t="s">
        <v>3</v>
      </c>
      <c r="B65" s="23">
        <f>Portfolio!D11</f>
        <v>0.14286148184667999</v>
      </c>
      <c r="W65" s="35">
        <v>2486177.4108047197</v>
      </c>
    </row>
    <row r="66" spans="1:23" x14ac:dyDescent="0.2">
      <c r="W66" s="35">
        <v>1982347.909344519</v>
      </c>
    </row>
    <row r="67" spans="1:23" x14ac:dyDescent="0.2">
      <c r="W67" s="35">
        <v>2117317.6515801609</v>
      </c>
    </row>
    <row r="68" spans="1:23" x14ac:dyDescent="0.2">
      <c r="A68" s="2" t="s">
        <v>212</v>
      </c>
      <c r="W68" s="35">
        <v>1763794.4909284797</v>
      </c>
    </row>
    <row r="69" spans="1:23" x14ac:dyDescent="0.2">
      <c r="W69" s="35">
        <v>2022520.758589657</v>
      </c>
    </row>
    <row r="70" spans="1:23" x14ac:dyDescent="0.2">
      <c r="A70" s="34" t="s">
        <v>213</v>
      </c>
      <c r="B70" s="34"/>
      <c r="W70" s="35">
        <v>1274280.2799743479</v>
      </c>
    </row>
    <row r="71" spans="1:23" x14ac:dyDescent="0.2">
      <c r="A71" s="9" t="s">
        <v>214</v>
      </c>
      <c r="B71" s="36">
        <f>MEDIAN($W$5:$W$10004)</f>
        <v>2013863.727289889</v>
      </c>
      <c r="W71" s="35">
        <v>1666029.0055900924</v>
      </c>
    </row>
    <row r="72" spans="1:23" x14ac:dyDescent="0.2">
      <c r="A72" s="7" t="s">
        <v>215</v>
      </c>
      <c r="B72" s="22">
        <f>(B71/B63)^(1/B79)-1</f>
        <v>7.2514093932088075E-2</v>
      </c>
      <c r="W72" s="35">
        <v>2912071.2875334085</v>
      </c>
    </row>
    <row r="73" spans="1:23" x14ac:dyDescent="0.2">
      <c r="A73" s="9" t="s">
        <v>216</v>
      </c>
      <c r="B73" s="24">
        <f>COUNTIF($W$5:$W$10004,"&lt;"&amp;B63)/COUNT($W$5:$W$10004)</f>
        <v>5.7000000000000002E-2</v>
      </c>
      <c r="W73" s="35">
        <v>1214194.6280697645</v>
      </c>
    </row>
    <row r="74" spans="1:23" x14ac:dyDescent="0.2">
      <c r="A74" s="9" t="s">
        <v>217</v>
      </c>
      <c r="B74" s="29">
        <f>COUNTIF($W$5:$W$10004,"&gt;="&amp;B63*(1+Inputs!$B$20)^B79)/COUNT($W$5:$W$10004)</f>
        <v>0.42699999999999999</v>
      </c>
      <c r="W74" s="35">
        <v>3594585.7447885796</v>
      </c>
    </row>
    <row r="75" spans="1:23" x14ac:dyDescent="0.2">
      <c r="A75" s="7" t="s">
        <v>218</v>
      </c>
      <c r="B75" s="35">
        <f>AVERAGE($W$5:$W$10004)</f>
        <v>2210150.3894235766</v>
      </c>
      <c r="W75" s="35">
        <v>1807841.0419971591</v>
      </c>
    </row>
    <row r="76" spans="1:23" x14ac:dyDescent="0.2">
      <c r="A76" s="7" t="s">
        <v>219</v>
      </c>
      <c r="B76" s="35">
        <f>PERCENTILE($W$5:$W$10004,0.05)</f>
        <v>970439.6254429213</v>
      </c>
      <c r="W76" s="35">
        <v>3748439.0786484941</v>
      </c>
    </row>
    <row r="77" spans="1:23" x14ac:dyDescent="0.2">
      <c r="A77" s="7" t="s">
        <v>220</v>
      </c>
      <c r="B77" s="35">
        <f>PERCENTILE($W$5:$W$10004,0.95)</f>
        <v>4141421.3891727603</v>
      </c>
      <c r="W77" s="35">
        <v>654477.70368432743</v>
      </c>
    </row>
    <row r="78" spans="1:23" x14ac:dyDescent="0.2">
      <c r="A78" s="7" t="s">
        <v>221</v>
      </c>
      <c r="B78" s="22">
        <f>NORMSDIST(-((B64-B65^2/2)*B79)/(B65*SQRT(B79)))</f>
        <v>5.6809033673971825E-2</v>
      </c>
      <c r="W78" s="35">
        <v>2639914.4201005446</v>
      </c>
    </row>
    <row r="79" spans="1:23" x14ac:dyDescent="0.2">
      <c r="A79" s="2" t="s">
        <v>222</v>
      </c>
      <c r="B79" s="42">
        <v>10</v>
      </c>
      <c r="W79" s="35">
        <v>2942597.1237161322</v>
      </c>
    </row>
    <row r="80" spans="1:23" x14ac:dyDescent="0.2">
      <c r="A80" s="2" t="s">
        <v>223</v>
      </c>
      <c r="B80" s="43">
        <f>COUNT($W$5:$W$10004)</f>
        <v>1000</v>
      </c>
      <c r="W80" s="35">
        <v>1814117.2335501243</v>
      </c>
    </row>
    <row r="81" spans="1:23" x14ac:dyDescent="0.2">
      <c r="W81" s="35">
        <v>2844402.846605645</v>
      </c>
    </row>
    <row r="82" spans="1:23" x14ac:dyDescent="0.2">
      <c r="A82" s="9" t="s">
        <v>224</v>
      </c>
      <c r="W82" s="35">
        <v>819653.4156804079</v>
      </c>
    </row>
    <row r="83" spans="1:23" ht="32" x14ac:dyDescent="0.2">
      <c r="A83" s="4" t="s">
        <v>225</v>
      </c>
      <c r="B83" s="5" t="s">
        <v>226</v>
      </c>
      <c r="C83" s="5" t="s">
        <v>227</v>
      </c>
      <c r="D83" s="5" t="s">
        <v>228</v>
      </c>
      <c r="W83" s="35">
        <v>1696114.1452669275</v>
      </c>
    </row>
    <row r="84" spans="1:23" x14ac:dyDescent="0.2">
      <c r="A84" s="44">
        <f>MIN($W$5:$W$10004)</f>
        <v>407143.56504859444</v>
      </c>
      <c r="B84" s="35">
        <f t="shared" ref="B84:B93" si="1">A84+(MAX($W$5:$W$10004)-MIN($W$5:$W$10004))/10</f>
        <v>1627383.1337294411</v>
      </c>
      <c r="C84" s="45">
        <f t="shared" ref="C84:C92" si="2">COUNTIFS($W$5:$W$10004,"&gt;="&amp;A84,$W$5:$W$10004,"&lt;"&amp;B84)</f>
        <v>323</v>
      </c>
      <c r="D84" s="37" t="str">
        <f t="shared" ref="D84:D93" si="3">TEXT(A84/1000000,"0.0")&amp;"–"&amp;TEXT(B84/1000000,"0.0")</f>
        <v>0.4–1.6</v>
      </c>
      <c r="W84" s="35">
        <v>2248611.5201422735</v>
      </c>
    </row>
    <row r="85" spans="1:23" x14ac:dyDescent="0.2">
      <c r="A85" s="44">
        <f t="shared" ref="A85:A93" si="4">B84</f>
        <v>1627383.1337294411</v>
      </c>
      <c r="B85" s="35">
        <f t="shared" si="1"/>
        <v>2847622.7024102877</v>
      </c>
      <c r="C85" s="45">
        <f t="shared" si="2"/>
        <v>477</v>
      </c>
      <c r="D85" s="37" t="str">
        <f t="shared" si="3"/>
        <v>1.6–2.8</v>
      </c>
      <c r="W85" s="35">
        <v>4174341.7521321699</v>
      </c>
    </row>
    <row r="86" spans="1:23" x14ac:dyDescent="0.2">
      <c r="A86" s="44">
        <f t="shared" si="4"/>
        <v>2847622.7024102877</v>
      </c>
      <c r="B86" s="35">
        <f t="shared" si="1"/>
        <v>4067862.2710911343</v>
      </c>
      <c r="C86" s="45">
        <f t="shared" si="2"/>
        <v>146</v>
      </c>
      <c r="D86" s="37" t="str">
        <f t="shared" si="3"/>
        <v>2.8–4.1</v>
      </c>
      <c r="W86" s="35">
        <v>2115324.5814894214</v>
      </c>
    </row>
    <row r="87" spans="1:23" x14ac:dyDescent="0.2">
      <c r="A87" s="44">
        <f t="shared" si="4"/>
        <v>4067862.2710911343</v>
      </c>
      <c r="B87" s="35">
        <f t="shared" si="1"/>
        <v>5288101.8397719804</v>
      </c>
      <c r="C87" s="45">
        <f t="shared" si="2"/>
        <v>41</v>
      </c>
      <c r="D87" s="37" t="str">
        <f t="shared" si="3"/>
        <v>4.1–5.3</v>
      </c>
      <c r="W87" s="35">
        <v>4511810.2095094947</v>
      </c>
    </row>
    <row r="88" spans="1:23" x14ac:dyDescent="0.2">
      <c r="A88" s="44">
        <f t="shared" si="4"/>
        <v>5288101.8397719804</v>
      </c>
      <c r="B88" s="35">
        <f t="shared" si="1"/>
        <v>6508341.4084528275</v>
      </c>
      <c r="C88" s="45">
        <f t="shared" si="2"/>
        <v>9</v>
      </c>
      <c r="D88" s="37" t="str">
        <f t="shared" si="3"/>
        <v>5.3–6.5</v>
      </c>
      <c r="W88" s="35">
        <v>2121072.0812929734</v>
      </c>
    </row>
    <row r="89" spans="1:23" x14ac:dyDescent="0.2">
      <c r="A89" s="44">
        <f t="shared" si="4"/>
        <v>6508341.4084528275</v>
      </c>
      <c r="B89" s="35">
        <f t="shared" si="1"/>
        <v>7728580.9771336745</v>
      </c>
      <c r="C89" s="45">
        <f t="shared" si="2"/>
        <v>3</v>
      </c>
      <c r="D89" s="37" t="str">
        <f t="shared" si="3"/>
        <v>6.5–7.7</v>
      </c>
      <c r="W89" s="35">
        <v>3815820.0977690034</v>
      </c>
    </row>
    <row r="90" spans="1:23" x14ac:dyDescent="0.2">
      <c r="A90" s="44">
        <f t="shared" si="4"/>
        <v>7728580.9771336745</v>
      </c>
      <c r="B90" s="35">
        <f t="shared" si="1"/>
        <v>8948820.5458145216</v>
      </c>
      <c r="C90" s="45">
        <f t="shared" si="2"/>
        <v>0</v>
      </c>
      <c r="D90" s="37" t="str">
        <f t="shared" si="3"/>
        <v>7.7–8.9</v>
      </c>
      <c r="W90" s="35">
        <v>1818992.7260698164</v>
      </c>
    </row>
    <row r="91" spans="1:23" x14ac:dyDescent="0.2">
      <c r="A91" s="44">
        <f t="shared" si="4"/>
        <v>8948820.5458145216</v>
      </c>
      <c r="B91" s="35">
        <f t="shared" si="1"/>
        <v>10169060.114495369</v>
      </c>
      <c r="C91" s="45">
        <f t="shared" si="2"/>
        <v>0</v>
      </c>
      <c r="D91" s="37" t="str">
        <f t="shared" si="3"/>
        <v>8.9–10.2</v>
      </c>
      <c r="W91" s="35">
        <v>1488764.9714011722</v>
      </c>
    </row>
    <row r="92" spans="1:23" x14ac:dyDescent="0.2">
      <c r="A92" s="44">
        <f t="shared" si="4"/>
        <v>10169060.114495369</v>
      </c>
      <c r="B92" s="35">
        <f t="shared" si="1"/>
        <v>11389299.683176216</v>
      </c>
      <c r="C92" s="45">
        <f t="shared" si="2"/>
        <v>0</v>
      </c>
      <c r="D92" s="37" t="str">
        <f t="shared" si="3"/>
        <v>10.2–11.4</v>
      </c>
      <c r="W92" s="35">
        <v>1578260.6736154368</v>
      </c>
    </row>
    <row r="93" spans="1:23" x14ac:dyDescent="0.2">
      <c r="A93" s="44">
        <f t="shared" si="4"/>
        <v>11389299.683176216</v>
      </c>
      <c r="B93" s="35">
        <f t="shared" si="1"/>
        <v>12609539.251857063</v>
      </c>
      <c r="C93" s="45">
        <f>COUNTIFS($W$5:$W$10004,"&gt;="&amp;A93,$W$5:$W$10004,"&lt;="&amp;B93)</f>
        <v>1</v>
      </c>
      <c r="D93" s="37" t="str">
        <f t="shared" si="3"/>
        <v>11.4–12.6</v>
      </c>
      <c r="W93" s="35">
        <v>1226079.7115835082</v>
      </c>
    </row>
    <row r="94" spans="1:23" x14ac:dyDescent="0.2">
      <c r="W94" s="35">
        <v>2333670.2763625341</v>
      </c>
    </row>
    <row r="95" spans="1:23" x14ac:dyDescent="0.2">
      <c r="W95" s="35">
        <v>1561423.3715520133</v>
      </c>
    </row>
    <row r="96" spans="1:23" x14ac:dyDescent="0.2">
      <c r="W96" s="35">
        <v>1767591.7605242881</v>
      </c>
    </row>
    <row r="97" spans="23:23" x14ac:dyDescent="0.2">
      <c r="W97" s="35">
        <v>2114564.810279456</v>
      </c>
    </row>
    <row r="98" spans="23:23" x14ac:dyDescent="0.2">
      <c r="W98" s="35">
        <v>2420542.8684004857</v>
      </c>
    </row>
    <row r="99" spans="23:23" x14ac:dyDescent="0.2">
      <c r="W99" s="35">
        <v>2707339.7961511752</v>
      </c>
    </row>
    <row r="100" spans="23:23" x14ac:dyDescent="0.2">
      <c r="W100" s="35">
        <v>2302842.5406547999</v>
      </c>
    </row>
    <row r="101" spans="23:23" x14ac:dyDescent="0.2">
      <c r="W101" s="35">
        <v>1572899.6898624953</v>
      </c>
    </row>
    <row r="102" spans="23:23" x14ac:dyDescent="0.2">
      <c r="W102" s="35">
        <v>1650279.8751538519</v>
      </c>
    </row>
    <row r="103" spans="23:23" x14ac:dyDescent="0.2">
      <c r="W103" s="35">
        <v>1379344.7023611965</v>
      </c>
    </row>
    <row r="104" spans="23:23" x14ac:dyDescent="0.2">
      <c r="W104" s="35">
        <v>984401.51079983904</v>
      </c>
    </row>
    <row r="105" spans="23:23" x14ac:dyDescent="0.2">
      <c r="W105" s="35">
        <v>2619233.8413192253</v>
      </c>
    </row>
    <row r="106" spans="23:23" x14ac:dyDescent="0.2">
      <c r="W106" s="35">
        <v>4620803.2019179286</v>
      </c>
    </row>
    <row r="107" spans="23:23" x14ac:dyDescent="0.2">
      <c r="W107" s="35">
        <v>2643906.1650800817</v>
      </c>
    </row>
    <row r="108" spans="23:23" x14ac:dyDescent="0.2">
      <c r="W108" s="35">
        <v>1702161.3544463273</v>
      </c>
    </row>
    <row r="109" spans="23:23" x14ac:dyDescent="0.2">
      <c r="W109" s="35">
        <v>2060310.9902206457</v>
      </c>
    </row>
    <row r="110" spans="23:23" x14ac:dyDescent="0.2">
      <c r="W110" s="35">
        <v>3059765.9214985152</v>
      </c>
    </row>
    <row r="111" spans="23:23" x14ac:dyDescent="0.2">
      <c r="W111" s="35">
        <v>2526647.3632557415</v>
      </c>
    </row>
    <row r="112" spans="23:23" x14ac:dyDescent="0.2">
      <c r="W112" s="35">
        <v>1294440.9490651402</v>
      </c>
    </row>
    <row r="113" spans="23:23" x14ac:dyDescent="0.2">
      <c r="W113" s="35">
        <v>1380876.7274738345</v>
      </c>
    </row>
    <row r="114" spans="23:23" x14ac:dyDescent="0.2">
      <c r="W114" s="35">
        <v>2378850.1144032557</v>
      </c>
    </row>
    <row r="115" spans="23:23" x14ac:dyDescent="0.2">
      <c r="W115" s="35">
        <v>3299465.9090920975</v>
      </c>
    </row>
    <row r="116" spans="23:23" x14ac:dyDescent="0.2">
      <c r="W116" s="35">
        <v>12609539.251857061</v>
      </c>
    </row>
    <row r="117" spans="23:23" x14ac:dyDescent="0.2">
      <c r="W117" s="35">
        <v>3017120.6614723648</v>
      </c>
    </row>
    <row r="118" spans="23:23" x14ac:dyDescent="0.2">
      <c r="W118" s="35">
        <v>2314106.0060684616</v>
      </c>
    </row>
    <row r="119" spans="23:23" x14ac:dyDescent="0.2">
      <c r="W119" s="35">
        <v>2689055.3883592682</v>
      </c>
    </row>
    <row r="120" spans="23:23" x14ac:dyDescent="0.2">
      <c r="W120" s="35">
        <v>1448038.3732534016</v>
      </c>
    </row>
    <row r="121" spans="23:23" x14ac:dyDescent="0.2">
      <c r="W121" s="35">
        <v>3356601.3376872013</v>
      </c>
    </row>
    <row r="122" spans="23:23" x14ac:dyDescent="0.2">
      <c r="W122" s="35">
        <v>2051239.1133070765</v>
      </c>
    </row>
    <row r="123" spans="23:23" x14ac:dyDescent="0.2">
      <c r="W123" s="35">
        <v>1098918.3560986028</v>
      </c>
    </row>
    <row r="124" spans="23:23" x14ac:dyDescent="0.2">
      <c r="W124" s="35">
        <v>1569039.044591726</v>
      </c>
    </row>
    <row r="125" spans="23:23" x14ac:dyDescent="0.2">
      <c r="W125" s="35">
        <v>2203032.5987425977</v>
      </c>
    </row>
    <row r="126" spans="23:23" x14ac:dyDescent="0.2">
      <c r="W126" s="35">
        <v>891438.16623288963</v>
      </c>
    </row>
    <row r="127" spans="23:23" x14ac:dyDescent="0.2">
      <c r="W127" s="35">
        <v>3186302.3644006001</v>
      </c>
    </row>
    <row r="128" spans="23:23" x14ac:dyDescent="0.2">
      <c r="W128" s="35">
        <v>1498300.9420014671</v>
      </c>
    </row>
    <row r="129" spans="23:23" x14ac:dyDescent="0.2">
      <c r="W129" s="35">
        <v>1494362.5638999115</v>
      </c>
    </row>
    <row r="130" spans="23:23" x14ac:dyDescent="0.2">
      <c r="W130" s="35">
        <v>2075221.2766265585</v>
      </c>
    </row>
    <row r="131" spans="23:23" x14ac:dyDescent="0.2">
      <c r="W131" s="35">
        <v>1149561.7151957031</v>
      </c>
    </row>
    <row r="132" spans="23:23" x14ac:dyDescent="0.2">
      <c r="W132" s="35">
        <v>2258244.8844515639</v>
      </c>
    </row>
    <row r="133" spans="23:23" x14ac:dyDescent="0.2">
      <c r="W133" s="35">
        <v>1041124.3743832612</v>
      </c>
    </row>
    <row r="134" spans="23:23" x14ac:dyDescent="0.2">
      <c r="W134" s="35">
        <v>2768304.236067005</v>
      </c>
    </row>
    <row r="135" spans="23:23" x14ac:dyDescent="0.2">
      <c r="W135" s="35">
        <v>2104002.1489015608</v>
      </c>
    </row>
    <row r="136" spans="23:23" x14ac:dyDescent="0.2">
      <c r="W136" s="35">
        <v>1331205.9834563835</v>
      </c>
    </row>
    <row r="137" spans="23:23" x14ac:dyDescent="0.2">
      <c r="W137" s="35">
        <v>6764518.1810185453</v>
      </c>
    </row>
    <row r="138" spans="23:23" x14ac:dyDescent="0.2">
      <c r="W138" s="35">
        <v>1338915.7419702171</v>
      </c>
    </row>
    <row r="139" spans="23:23" x14ac:dyDescent="0.2">
      <c r="W139" s="35">
        <v>3389400.7928564842</v>
      </c>
    </row>
    <row r="140" spans="23:23" x14ac:dyDescent="0.2">
      <c r="W140" s="35">
        <v>2124908.2329614395</v>
      </c>
    </row>
    <row r="141" spans="23:23" x14ac:dyDescent="0.2">
      <c r="W141" s="35">
        <v>5235565.9826104417</v>
      </c>
    </row>
    <row r="142" spans="23:23" x14ac:dyDescent="0.2">
      <c r="W142" s="35">
        <v>1496375.0452579856</v>
      </c>
    </row>
    <row r="143" spans="23:23" x14ac:dyDescent="0.2">
      <c r="W143" s="35">
        <v>3129962.9621746796</v>
      </c>
    </row>
    <row r="144" spans="23:23" x14ac:dyDescent="0.2">
      <c r="W144" s="35">
        <v>1817956.8827354331</v>
      </c>
    </row>
    <row r="145" spans="23:23" x14ac:dyDescent="0.2">
      <c r="W145" s="35">
        <v>1871131.0718337144</v>
      </c>
    </row>
    <row r="146" spans="23:23" x14ac:dyDescent="0.2">
      <c r="W146" s="35">
        <v>1072875.7566614484</v>
      </c>
    </row>
    <row r="147" spans="23:23" x14ac:dyDescent="0.2">
      <c r="W147" s="35">
        <v>1189445.219562832</v>
      </c>
    </row>
    <row r="148" spans="23:23" x14ac:dyDescent="0.2">
      <c r="W148" s="35">
        <v>1893761.9654908711</v>
      </c>
    </row>
    <row r="149" spans="23:23" x14ac:dyDescent="0.2">
      <c r="W149" s="35">
        <v>3384170.4049625699</v>
      </c>
    </row>
    <row r="150" spans="23:23" x14ac:dyDescent="0.2">
      <c r="W150" s="35">
        <v>1691969.1121361584</v>
      </c>
    </row>
    <row r="151" spans="23:23" x14ac:dyDescent="0.2">
      <c r="W151" s="35">
        <v>2948539.3317943187</v>
      </c>
    </row>
    <row r="152" spans="23:23" x14ac:dyDescent="0.2">
      <c r="W152" s="35">
        <v>1565067.8132253487</v>
      </c>
    </row>
    <row r="153" spans="23:23" x14ac:dyDescent="0.2">
      <c r="W153" s="35">
        <v>4715112.6413890682</v>
      </c>
    </row>
    <row r="154" spans="23:23" x14ac:dyDescent="0.2">
      <c r="W154" s="35">
        <v>1798771.6321644972</v>
      </c>
    </row>
    <row r="155" spans="23:23" x14ac:dyDescent="0.2">
      <c r="W155" s="35">
        <v>3182342.3379048528</v>
      </c>
    </row>
    <row r="156" spans="23:23" x14ac:dyDescent="0.2">
      <c r="W156" s="35">
        <v>2986924.7722096802</v>
      </c>
    </row>
    <row r="157" spans="23:23" x14ac:dyDescent="0.2">
      <c r="W157" s="35">
        <v>2521266.0248885341</v>
      </c>
    </row>
    <row r="158" spans="23:23" x14ac:dyDescent="0.2">
      <c r="W158" s="35">
        <v>2501449.9370067478</v>
      </c>
    </row>
    <row r="159" spans="23:23" x14ac:dyDescent="0.2">
      <c r="W159" s="35">
        <v>5324588.5511882054</v>
      </c>
    </row>
    <row r="160" spans="23:23" x14ac:dyDescent="0.2">
      <c r="W160" s="35">
        <v>2333124.7092803405</v>
      </c>
    </row>
    <row r="161" spans="23:23" x14ac:dyDescent="0.2">
      <c r="W161" s="35">
        <v>2646227.3714175555</v>
      </c>
    </row>
    <row r="162" spans="23:23" x14ac:dyDescent="0.2">
      <c r="W162" s="35">
        <v>1731517.4763303953</v>
      </c>
    </row>
    <row r="163" spans="23:23" x14ac:dyDescent="0.2">
      <c r="W163" s="35">
        <v>2951818.2091863765</v>
      </c>
    </row>
    <row r="164" spans="23:23" x14ac:dyDescent="0.2">
      <c r="W164" s="35">
        <v>3284212.2630295185</v>
      </c>
    </row>
    <row r="165" spans="23:23" x14ac:dyDescent="0.2">
      <c r="W165" s="35">
        <v>1521733.2656477278</v>
      </c>
    </row>
    <row r="166" spans="23:23" x14ac:dyDescent="0.2">
      <c r="W166" s="35">
        <v>1447290.208874292</v>
      </c>
    </row>
    <row r="167" spans="23:23" x14ac:dyDescent="0.2">
      <c r="W167" s="35">
        <v>5299619.6576295951</v>
      </c>
    </row>
    <row r="168" spans="23:23" x14ac:dyDescent="0.2">
      <c r="W168" s="35">
        <v>1327705.5078096408</v>
      </c>
    </row>
    <row r="169" spans="23:23" x14ac:dyDescent="0.2">
      <c r="W169" s="35">
        <v>3582635.1937147896</v>
      </c>
    </row>
    <row r="170" spans="23:23" x14ac:dyDescent="0.2">
      <c r="W170" s="35">
        <v>3017662.7586786868</v>
      </c>
    </row>
    <row r="171" spans="23:23" x14ac:dyDescent="0.2">
      <c r="W171" s="35">
        <v>690055.00495680224</v>
      </c>
    </row>
    <row r="172" spans="23:23" x14ac:dyDescent="0.2">
      <c r="W172" s="35">
        <v>777414.802582665</v>
      </c>
    </row>
    <row r="173" spans="23:23" x14ac:dyDescent="0.2">
      <c r="W173" s="35">
        <v>3171669.8793700119</v>
      </c>
    </row>
    <row r="174" spans="23:23" x14ac:dyDescent="0.2">
      <c r="W174" s="35">
        <v>2935475.8425821373</v>
      </c>
    </row>
    <row r="175" spans="23:23" x14ac:dyDescent="0.2">
      <c r="W175" s="35">
        <v>3525565.0626266547</v>
      </c>
    </row>
    <row r="176" spans="23:23" x14ac:dyDescent="0.2">
      <c r="W176" s="35">
        <v>1285689.2937157538</v>
      </c>
    </row>
    <row r="177" spans="23:23" x14ac:dyDescent="0.2">
      <c r="W177" s="35">
        <v>1745727.4688273454</v>
      </c>
    </row>
    <row r="178" spans="23:23" x14ac:dyDescent="0.2">
      <c r="W178" s="35">
        <v>2398840.7041636212</v>
      </c>
    </row>
    <row r="179" spans="23:23" x14ac:dyDescent="0.2">
      <c r="W179" s="35">
        <v>1562176.9621825991</v>
      </c>
    </row>
    <row r="180" spans="23:23" x14ac:dyDescent="0.2">
      <c r="W180" s="35">
        <v>1853036.4540257885</v>
      </c>
    </row>
    <row r="181" spans="23:23" x14ac:dyDescent="0.2">
      <c r="W181" s="35">
        <v>2128192.8221905776</v>
      </c>
    </row>
    <row r="182" spans="23:23" x14ac:dyDescent="0.2">
      <c r="W182" s="35">
        <v>2044616.7500469005</v>
      </c>
    </row>
    <row r="183" spans="23:23" x14ac:dyDescent="0.2">
      <c r="W183" s="35">
        <v>3018639.2482608906</v>
      </c>
    </row>
    <row r="184" spans="23:23" x14ac:dyDescent="0.2">
      <c r="W184" s="35">
        <v>2687076.6404783204</v>
      </c>
    </row>
    <row r="185" spans="23:23" x14ac:dyDescent="0.2">
      <c r="W185" s="35">
        <v>1240468.9487682593</v>
      </c>
    </row>
    <row r="186" spans="23:23" x14ac:dyDescent="0.2">
      <c r="W186" s="35">
        <v>1687933.871273539</v>
      </c>
    </row>
    <row r="187" spans="23:23" x14ac:dyDescent="0.2">
      <c r="W187" s="35">
        <v>2441002.9853708246</v>
      </c>
    </row>
    <row r="188" spans="23:23" x14ac:dyDescent="0.2">
      <c r="W188" s="35">
        <v>1771246.5768269994</v>
      </c>
    </row>
    <row r="189" spans="23:23" x14ac:dyDescent="0.2">
      <c r="W189" s="35">
        <v>3430772.0245862268</v>
      </c>
    </row>
    <row r="190" spans="23:23" x14ac:dyDescent="0.2">
      <c r="W190" s="35">
        <v>1644900.1140607649</v>
      </c>
    </row>
    <row r="191" spans="23:23" x14ac:dyDescent="0.2">
      <c r="W191" s="35">
        <v>1757555.8024479197</v>
      </c>
    </row>
    <row r="192" spans="23:23" x14ac:dyDescent="0.2">
      <c r="W192" s="35">
        <v>2074437.4260538945</v>
      </c>
    </row>
    <row r="193" spans="23:23" x14ac:dyDescent="0.2">
      <c r="W193" s="35">
        <v>3281758.938854157</v>
      </c>
    </row>
    <row r="194" spans="23:23" x14ac:dyDescent="0.2">
      <c r="W194" s="35">
        <v>1946923.0691389928</v>
      </c>
    </row>
    <row r="195" spans="23:23" x14ac:dyDescent="0.2">
      <c r="W195" s="35">
        <v>4546181.6484803651</v>
      </c>
    </row>
    <row r="196" spans="23:23" x14ac:dyDescent="0.2">
      <c r="W196" s="35">
        <v>4015849.7531941454</v>
      </c>
    </row>
    <row r="197" spans="23:23" x14ac:dyDescent="0.2">
      <c r="W197" s="35">
        <v>1517586.135401218</v>
      </c>
    </row>
    <row r="198" spans="23:23" x14ac:dyDescent="0.2">
      <c r="W198" s="35">
        <v>2088954.2581319374</v>
      </c>
    </row>
    <row r="199" spans="23:23" x14ac:dyDescent="0.2">
      <c r="W199" s="35">
        <v>1439512.0891828667</v>
      </c>
    </row>
    <row r="200" spans="23:23" x14ac:dyDescent="0.2">
      <c r="W200" s="35">
        <v>1082492.8929066709</v>
      </c>
    </row>
    <row r="201" spans="23:23" x14ac:dyDescent="0.2">
      <c r="W201" s="35">
        <v>1624884.7148123467</v>
      </c>
    </row>
    <row r="202" spans="23:23" x14ac:dyDescent="0.2">
      <c r="W202" s="35">
        <v>1253081.8036240956</v>
      </c>
    </row>
    <row r="203" spans="23:23" x14ac:dyDescent="0.2">
      <c r="W203" s="35">
        <v>1592607.7307677795</v>
      </c>
    </row>
    <row r="204" spans="23:23" x14ac:dyDescent="0.2">
      <c r="W204" s="35">
        <v>1653530.7835457057</v>
      </c>
    </row>
    <row r="205" spans="23:23" x14ac:dyDescent="0.2">
      <c r="W205" s="35">
        <v>1983067.5076427576</v>
      </c>
    </row>
    <row r="206" spans="23:23" x14ac:dyDescent="0.2">
      <c r="W206" s="35">
        <v>1454714.6893597906</v>
      </c>
    </row>
    <row r="207" spans="23:23" x14ac:dyDescent="0.2">
      <c r="W207" s="35">
        <v>2076056.6225292392</v>
      </c>
    </row>
    <row r="208" spans="23:23" x14ac:dyDescent="0.2">
      <c r="W208" s="35">
        <v>1933877.1478396826</v>
      </c>
    </row>
    <row r="209" spans="23:23" x14ac:dyDescent="0.2">
      <c r="W209" s="35">
        <v>3880061.0666342117</v>
      </c>
    </row>
    <row r="210" spans="23:23" x14ac:dyDescent="0.2">
      <c r="W210" s="35">
        <v>2286148.1036938136</v>
      </c>
    </row>
    <row r="211" spans="23:23" x14ac:dyDescent="0.2">
      <c r="W211" s="35">
        <v>2028648.9754625498</v>
      </c>
    </row>
    <row r="212" spans="23:23" x14ac:dyDescent="0.2">
      <c r="W212" s="35">
        <v>1985920.3294696622</v>
      </c>
    </row>
    <row r="213" spans="23:23" x14ac:dyDescent="0.2">
      <c r="W213" s="35">
        <v>1432003.5210124189</v>
      </c>
    </row>
    <row r="214" spans="23:23" x14ac:dyDescent="0.2">
      <c r="W214" s="35">
        <v>3451359.3585215216</v>
      </c>
    </row>
    <row r="215" spans="23:23" x14ac:dyDescent="0.2">
      <c r="W215" s="35">
        <v>1883513.2416771455</v>
      </c>
    </row>
    <row r="216" spans="23:23" x14ac:dyDescent="0.2">
      <c r="W216" s="35">
        <v>2304953.9188596318</v>
      </c>
    </row>
    <row r="217" spans="23:23" x14ac:dyDescent="0.2">
      <c r="W217" s="35">
        <v>1549905.9593333225</v>
      </c>
    </row>
    <row r="218" spans="23:23" x14ac:dyDescent="0.2">
      <c r="W218" s="35">
        <v>2363793.2588392766</v>
      </c>
    </row>
    <row r="219" spans="23:23" x14ac:dyDescent="0.2">
      <c r="W219" s="35">
        <v>2557727.7941238456</v>
      </c>
    </row>
    <row r="220" spans="23:23" x14ac:dyDescent="0.2">
      <c r="W220" s="35">
        <v>2136325.7718380252</v>
      </c>
    </row>
    <row r="221" spans="23:23" x14ac:dyDescent="0.2">
      <c r="W221" s="35">
        <v>2183004.6830706289</v>
      </c>
    </row>
    <row r="222" spans="23:23" x14ac:dyDescent="0.2">
      <c r="W222" s="35">
        <v>2742901.1706514121</v>
      </c>
    </row>
    <row r="223" spans="23:23" x14ac:dyDescent="0.2">
      <c r="W223" s="35">
        <v>2438894.9759161784</v>
      </c>
    </row>
    <row r="224" spans="23:23" x14ac:dyDescent="0.2">
      <c r="W224" s="35">
        <v>4808102.1389090279</v>
      </c>
    </row>
    <row r="225" spans="23:23" x14ac:dyDescent="0.2">
      <c r="W225" s="35">
        <v>2187383.5216997224</v>
      </c>
    </row>
    <row r="226" spans="23:23" x14ac:dyDescent="0.2">
      <c r="W226" s="35">
        <v>1133479.9126765479</v>
      </c>
    </row>
    <row r="227" spans="23:23" x14ac:dyDescent="0.2">
      <c r="W227" s="35">
        <v>2837136.5711103408</v>
      </c>
    </row>
    <row r="228" spans="23:23" x14ac:dyDescent="0.2">
      <c r="W228" s="35">
        <v>1731778.7516685429</v>
      </c>
    </row>
    <row r="229" spans="23:23" x14ac:dyDescent="0.2">
      <c r="W229" s="35">
        <v>1971214.0123866145</v>
      </c>
    </row>
    <row r="230" spans="23:23" x14ac:dyDescent="0.2">
      <c r="W230" s="35">
        <v>1867519.80761395</v>
      </c>
    </row>
    <row r="231" spans="23:23" x14ac:dyDescent="0.2">
      <c r="W231" s="35">
        <v>3566741.7789058937</v>
      </c>
    </row>
    <row r="232" spans="23:23" x14ac:dyDescent="0.2">
      <c r="W232" s="35">
        <v>4011908.9440935454</v>
      </c>
    </row>
    <row r="233" spans="23:23" x14ac:dyDescent="0.2">
      <c r="W233" s="35">
        <v>1256658.3546165398</v>
      </c>
    </row>
    <row r="234" spans="23:23" x14ac:dyDescent="0.2">
      <c r="W234" s="35">
        <v>1945761.2820080342</v>
      </c>
    </row>
    <row r="235" spans="23:23" x14ac:dyDescent="0.2">
      <c r="W235" s="35">
        <v>3413248.164300872</v>
      </c>
    </row>
    <row r="236" spans="23:23" x14ac:dyDescent="0.2">
      <c r="W236" s="35">
        <v>4981499.628650385</v>
      </c>
    </row>
    <row r="237" spans="23:23" x14ac:dyDescent="0.2">
      <c r="W237" s="35">
        <v>1620606.8764880863</v>
      </c>
    </row>
    <row r="238" spans="23:23" x14ac:dyDescent="0.2">
      <c r="W238" s="35">
        <v>1692522.484640596</v>
      </c>
    </row>
    <row r="239" spans="23:23" x14ac:dyDescent="0.2">
      <c r="W239" s="35">
        <v>1751407.4769736701</v>
      </c>
    </row>
    <row r="240" spans="23:23" x14ac:dyDescent="0.2">
      <c r="W240" s="35">
        <v>1666282.9857485876</v>
      </c>
    </row>
    <row r="241" spans="23:23" x14ac:dyDescent="0.2">
      <c r="W241" s="35">
        <v>621183.5442833883</v>
      </c>
    </row>
    <row r="242" spans="23:23" x14ac:dyDescent="0.2">
      <c r="W242" s="35">
        <v>1477521.0615599281</v>
      </c>
    </row>
    <row r="243" spans="23:23" x14ac:dyDescent="0.2">
      <c r="W243" s="35">
        <v>3904568.6765385447</v>
      </c>
    </row>
    <row r="244" spans="23:23" x14ac:dyDescent="0.2">
      <c r="W244" s="35">
        <v>1269091.8668056091</v>
      </c>
    </row>
    <row r="245" spans="23:23" x14ac:dyDescent="0.2">
      <c r="W245" s="35">
        <v>1641027.968419536</v>
      </c>
    </row>
    <row r="246" spans="23:23" x14ac:dyDescent="0.2">
      <c r="W246" s="35">
        <v>1504479.9323233422</v>
      </c>
    </row>
    <row r="247" spans="23:23" x14ac:dyDescent="0.2">
      <c r="W247" s="35">
        <v>1642968.4198726569</v>
      </c>
    </row>
    <row r="248" spans="23:23" x14ac:dyDescent="0.2">
      <c r="W248" s="35">
        <v>4134022.0444462313</v>
      </c>
    </row>
    <row r="249" spans="23:23" x14ac:dyDescent="0.2">
      <c r="W249" s="35">
        <v>1572932.3412941562</v>
      </c>
    </row>
    <row r="250" spans="23:23" x14ac:dyDescent="0.2">
      <c r="W250" s="35">
        <v>2140650.9073030148</v>
      </c>
    </row>
    <row r="251" spans="23:23" x14ac:dyDescent="0.2">
      <c r="W251" s="35">
        <v>1159500.587257494</v>
      </c>
    </row>
    <row r="252" spans="23:23" x14ac:dyDescent="0.2">
      <c r="W252" s="35">
        <v>3094839.3504950944</v>
      </c>
    </row>
    <row r="253" spans="23:23" x14ac:dyDescent="0.2">
      <c r="W253" s="35">
        <v>1245730.8219732349</v>
      </c>
    </row>
    <row r="254" spans="23:23" x14ac:dyDescent="0.2">
      <c r="W254" s="35">
        <v>2715699.7348548728</v>
      </c>
    </row>
    <row r="255" spans="23:23" x14ac:dyDescent="0.2">
      <c r="W255" s="35">
        <v>2016522.3126264915</v>
      </c>
    </row>
    <row r="256" spans="23:23" x14ac:dyDescent="0.2">
      <c r="W256" s="35">
        <v>805270.42933940666</v>
      </c>
    </row>
    <row r="257" spans="23:23" x14ac:dyDescent="0.2">
      <c r="W257" s="35">
        <v>2746767.077497629</v>
      </c>
    </row>
    <row r="258" spans="23:23" x14ac:dyDescent="0.2">
      <c r="W258" s="35">
        <v>2173708.5849255654</v>
      </c>
    </row>
    <row r="259" spans="23:23" x14ac:dyDescent="0.2">
      <c r="W259" s="35">
        <v>1742082.0836712224</v>
      </c>
    </row>
    <row r="260" spans="23:23" x14ac:dyDescent="0.2">
      <c r="W260" s="35">
        <v>2454977.6240031025</v>
      </c>
    </row>
    <row r="261" spans="23:23" x14ac:dyDescent="0.2">
      <c r="W261" s="35">
        <v>1618113.6392489087</v>
      </c>
    </row>
    <row r="262" spans="23:23" x14ac:dyDescent="0.2">
      <c r="W262" s="35">
        <v>2618931.8959713369</v>
      </c>
    </row>
    <row r="263" spans="23:23" x14ac:dyDescent="0.2">
      <c r="W263" s="35">
        <v>2448416.9316095011</v>
      </c>
    </row>
    <row r="264" spans="23:23" x14ac:dyDescent="0.2">
      <c r="W264" s="35">
        <v>2806510.9454208342</v>
      </c>
    </row>
    <row r="265" spans="23:23" x14ac:dyDescent="0.2">
      <c r="W265" s="35">
        <v>1621474.9417983545</v>
      </c>
    </row>
    <row r="266" spans="23:23" x14ac:dyDescent="0.2">
      <c r="W266" s="35">
        <v>921179.03589882527</v>
      </c>
    </row>
    <row r="267" spans="23:23" x14ac:dyDescent="0.2">
      <c r="W267" s="35">
        <v>3730895.6608385774</v>
      </c>
    </row>
    <row r="268" spans="23:23" x14ac:dyDescent="0.2">
      <c r="W268" s="35">
        <v>2080797.5829550473</v>
      </c>
    </row>
    <row r="269" spans="23:23" x14ac:dyDescent="0.2">
      <c r="W269" s="35">
        <v>2703374.2522769286</v>
      </c>
    </row>
    <row r="270" spans="23:23" x14ac:dyDescent="0.2">
      <c r="W270" s="35">
        <v>3712937.1660502297</v>
      </c>
    </row>
    <row r="271" spans="23:23" x14ac:dyDescent="0.2">
      <c r="W271" s="35">
        <v>1145030.2016968834</v>
      </c>
    </row>
    <row r="272" spans="23:23" x14ac:dyDescent="0.2">
      <c r="W272" s="35">
        <v>3021778.931983328</v>
      </c>
    </row>
    <row r="273" spans="23:23" x14ac:dyDescent="0.2">
      <c r="W273" s="35">
        <v>2081678.108388176</v>
      </c>
    </row>
    <row r="274" spans="23:23" x14ac:dyDescent="0.2">
      <c r="W274" s="35">
        <v>3173120.6860018116</v>
      </c>
    </row>
    <row r="275" spans="23:23" x14ac:dyDescent="0.2">
      <c r="W275" s="35">
        <v>2673875.5995689034</v>
      </c>
    </row>
    <row r="276" spans="23:23" x14ac:dyDescent="0.2">
      <c r="W276" s="35">
        <v>4477763.2342445683</v>
      </c>
    </row>
    <row r="277" spans="23:23" x14ac:dyDescent="0.2">
      <c r="W277" s="35">
        <v>1476899.0608879519</v>
      </c>
    </row>
    <row r="278" spans="23:23" x14ac:dyDescent="0.2">
      <c r="W278" s="35">
        <v>1817152.6977902323</v>
      </c>
    </row>
    <row r="279" spans="23:23" x14ac:dyDescent="0.2">
      <c r="W279" s="35">
        <v>1204294.8307067349</v>
      </c>
    </row>
    <row r="280" spans="23:23" x14ac:dyDescent="0.2">
      <c r="W280" s="35">
        <v>2835021.647252006</v>
      </c>
    </row>
    <row r="281" spans="23:23" x14ac:dyDescent="0.2">
      <c r="W281" s="35">
        <v>1061450.8746080664</v>
      </c>
    </row>
    <row r="282" spans="23:23" x14ac:dyDescent="0.2">
      <c r="W282" s="35">
        <v>1740097.3423435197</v>
      </c>
    </row>
    <row r="283" spans="23:23" x14ac:dyDescent="0.2">
      <c r="W283" s="35">
        <v>983848.31783495378</v>
      </c>
    </row>
    <row r="284" spans="23:23" x14ac:dyDescent="0.2">
      <c r="W284" s="35">
        <v>2780637.4503614632</v>
      </c>
    </row>
    <row r="285" spans="23:23" x14ac:dyDescent="0.2">
      <c r="W285" s="35">
        <v>777209.2650738121</v>
      </c>
    </row>
    <row r="286" spans="23:23" x14ac:dyDescent="0.2">
      <c r="W286" s="35">
        <v>1067134.1889201994</v>
      </c>
    </row>
    <row r="287" spans="23:23" x14ac:dyDescent="0.2">
      <c r="W287" s="35">
        <v>2122501.2644111905</v>
      </c>
    </row>
    <row r="288" spans="23:23" x14ac:dyDescent="0.2">
      <c r="W288" s="35">
        <v>2559104.0512517737</v>
      </c>
    </row>
    <row r="289" spans="23:23" x14ac:dyDescent="0.2">
      <c r="W289" s="35">
        <v>1634517.5814416183</v>
      </c>
    </row>
    <row r="290" spans="23:23" x14ac:dyDescent="0.2">
      <c r="W290" s="35">
        <v>1183916.3532796004</v>
      </c>
    </row>
    <row r="291" spans="23:23" x14ac:dyDescent="0.2">
      <c r="W291" s="35">
        <v>3695882.5518100206</v>
      </c>
    </row>
    <row r="292" spans="23:23" x14ac:dyDescent="0.2">
      <c r="W292" s="35">
        <v>1750048.5218735565</v>
      </c>
    </row>
    <row r="293" spans="23:23" x14ac:dyDescent="0.2">
      <c r="W293" s="35">
        <v>1315396.3039291624</v>
      </c>
    </row>
    <row r="294" spans="23:23" x14ac:dyDescent="0.2">
      <c r="W294" s="35">
        <v>1312020.8110219461</v>
      </c>
    </row>
    <row r="295" spans="23:23" x14ac:dyDescent="0.2">
      <c r="W295" s="35">
        <v>1323135.0535707688</v>
      </c>
    </row>
    <row r="296" spans="23:23" x14ac:dyDescent="0.2">
      <c r="W296" s="35">
        <v>2265535.3593025478</v>
      </c>
    </row>
    <row r="297" spans="23:23" x14ac:dyDescent="0.2">
      <c r="W297" s="35">
        <v>2597528.0119042872</v>
      </c>
    </row>
    <row r="298" spans="23:23" x14ac:dyDescent="0.2">
      <c r="W298" s="35">
        <v>1321314.0201063552</v>
      </c>
    </row>
    <row r="299" spans="23:23" x14ac:dyDescent="0.2">
      <c r="W299" s="35">
        <v>2180264.0642268499</v>
      </c>
    </row>
    <row r="300" spans="23:23" x14ac:dyDescent="0.2">
      <c r="W300" s="35">
        <v>1978388.3855764547</v>
      </c>
    </row>
    <row r="301" spans="23:23" x14ac:dyDescent="0.2">
      <c r="W301" s="35">
        <v>1315054.5353686006</v>
      </c>
    </row>
    <row r="302" spans="23:23" x14ac:dyDescent="0.2">
      <c r="W302" s="35">
        <v>2634723.9732032232</v>
      </c>
    </row>
    <row r="303" spans="23:23" x14ac:dyDescent="0.2">
      <c r="W303" s="35">
        <v>1760757.538436569</v>
      </c>
    </row>
    <row r="304" spans="23:23" x14ac:dyDescent="0.2">
      <c r="W304" s="35">
        <v>3923762.5065796622</v>
      </c>
    </row>
    <row r="305" spans="23:23" x14ac:dyDescent="0.2">
      <c r="W305" s="35">
        <v>1747603.0381154486</v>
      </c>
    </row>
    <row r="306" spans="23:23" x14ac:dyDescent="0.2">
      <c r="W306" s="35">
        <v>2508562.0385788982</v>
      </c>
    </row>
    <row r="307" spans="23:23" x14ac:dyDescent="0.2">
      <c r="W307" s="35">
        <v>970664.21306655894</v>
      </c>
    </row>
    <row r="308" spans="23:23" x14ac:dyDescent="0.2">
      <c r="W308" s="35">
        <v>1919418.904557938</v>
      </c>
    </row>
    <row r="309" spans="23:23" x14ac:dyDescent="0.2">
      <c r="W309" s="35">
        <v>1799892.4231968818</v>
      </c>
    </row>
    <row r="310" spans="23:23" x14ac:dyDescent="0.2">
      <c r="W310" s="35">
        <v>1156553.5594154138</v>
      </c>
    </row>
    <row r="311" spans="23:23" x14ac:dyDescent="0.2">
      <c r="W311" s="35">
        <v>2052146.3515609973</v>
      </c>
    </row>
    <row r="312" spans="23:23" x14ac:dyDescent="0.2">
      <c r="W312" s="35">
        <v>1178278.5306080624</v>
      </c>
    </row>
    <row r="313" spans="23:23" x14ac:dyDescent="0.2">
      <c r="W313" s="35">
        <v>2172114.8311427892</v>
      </c>
    </row>
    <row r="314" spans="23:23" x14ac:dyDescent="0.2">
      <c r="W314" s="35">
        <v>1754466.0405950418</v>
      </c>
    </row>
    <row r="315" spans="23:23" x14ac:dyDescent="0.2">
      <c r="W315" s="35">
        <v>2558471.7139061713</v>
      </c>
    </row>
    <row r="316" spans="23:23" x14ac:dyDescent="0.2">
      <c r="W316" s="35">
        <v>3360871.4153889925</v>
      </c>
    </row>
    <row r="317" spans="23:23" x14ac:dyDescent="0.2">
      <c r="W317" s="35">
        <v>2299677.5192727912</v>
      </c>
    </row>
    <row r="318" spans="23:23" x14ac:dyDescent="0.2">
      <c r="W318" s="35">
        <v>2146121.4880661191</v>
      </c>
    </row>
    <row r="319" spans="23:23" x14ac:dyDescent="0.2">
      <c r="W319" s="35">
        <v>1917807.3949009054</v>
      </c>
    </row>
    <row r="320" spans="23:23" x14ac:dyDescent="0.2">
      <c r="W320" s="35">
        <v>769698.72654974053</v>
      </c>
    </row>
    <row r="321" spans="23:23" x14ac:dyDescent="0.2">
      <c r="W321" s="35">
        <v>1320055.9663229478</v>
      </c>
    </row>
    <row r="322" spans="23:23" x14ac:dyDescent="0.2">
      <c r="W322" s="35">
        <v>991421.87184029561</v>
      </c>
    </row>
    <row r="323" spans="23:23" x14ac:dyDescent="0.2">
      <c r="W323" s="35">
        <v>2168439.3112973487</v>
      </c>
    </row>
    <row r="324" spans="23:23" x14ac:dyDescent="0.2">
      <c r="W324" s="35">
        <v>742150.19440681965</v>
      </c>
    </row>
    <row r="325" spans="23:23" x14ac:dyDescent="0.2">
      <c r="W325" s="35">
        <v>1954388.1154380196</v>
      </c>
    </row>
    <row r="326" spans="23:23" x14ac:dyDescent="0.2">
      <c r="W326" s="35">
        <v>2204528.7404318959</v>
      </c>
    </row>
    <row r="327" spans="23:23" x14ac:dyDescent="0.2">
      <c r="W327" s="35">
        <v>1099538.9020225231</v>
      </c>
    </row>
    <row r="328" spans="23:23" x14ac:dyDescent="0.2">
      <c r="W328" s="35">
        <v>1948875.4597701763</v>
      </c>
    </row>
    <row r="329" spans="23:23" x14ac:dyDescent="0.2">
      <c r="W329" s="35">
        <v>1487720.0698804487</v>
      </c>
    </row>
    <row r="330" spans="23:23" x14ac:dyDescent="0.2">
      <c r="W330" s="35">
        <v>1209678.4465552336</v>
      </c>
    </row>
    <row r="331" spans="23:23" x14ac:dyDescent="0.2">
      <c r="W331" s="35">
        <v>4882617.2711957488</v>
      </c>
    </row>
    <row r="332" spans="23:23" x14ac:dyDescent="0.2">
      <c r="W332" s="35">
        <v>1766198.472407843</v>
      </c>
    </row>
    <row r="333" spans="23:23" x14ac:dyDescent="0.2">
      <c r="W333" s="35">
        <v>679573.04856601288</v>
      </c>
    </row>
    <row r="334" spans="23:23" x14ac:dyDescent="0.2">
      <c r="W334" s="35">
        <v>2133746.565635867</v>
      </c>
    </row>
    <row r="335" spans="23:23" x14ac:dyDescent="0.2">
      <c r="W335" s="35">
        <v>3174991.3555727885</v>
      </c>
    </row>
    <row r="336" spans="23:23" x14ac:dyDescent="0.2">
      <c r="W336" s="35">
        <v>2637201.5157777737</v>
      </c>
    </row>
    <row r="337" spans="23:23" x14ac:dyDescent="0.2">
      <c r="W337" s="35">
        <v>1942347.809065128</v>
      </c>
    </row>
    <row r="338" spans="23:23" x14ac:dyDescent="0.2">
      <c r="W338" s="35">
        <v>915301.02926256903</v>
      </c>
    </row>
    <row r="339" spans="23:23" x14ac:dyDescent="0.2">
      <c r="W339" s="35">
        <v>1001439.4986738299</v>
      </c>
    </row>
    <row r="340" spans="23:23" x14ac:dyDescent="0.2">
      <c r="W340" s="35">
        <v>1242057.7403083469</v>
      </c>
    </row>
    <row r="341" spans="23:23" x14ac:dyDescent="0.2">
      <c r="W341" s="35">
        <v>1350243.2313430794</v>
      </c>
    </row>
    <row r="342" spans="23:23" x14ac:dyDescent="0.2">
      <c r="W342" s="35">
        <v>1277851.5409333655</v>
      </c>
    </row>
    <row r="343" spans="23:23" x14ac:dyDescent="0.2">
      <c r="W343" s="35">
        <v>1199458.7261773781</v>
      </c>
    </row>
    <row r="344" spans="23:23" x14ac:dyDescent="0.2">
      <c r="W344" s="35">
        <v>704961.28182866063</v>
      </c>
    </row>
    <row r="345" spans="23:23" x14ac:dyDescent="0.2">
      <c r="W345" s="35">
        <v>2367982.0507946867</v>
      </c>
    </row>
    <row r="346" spans="23:23" x14ac:dyDescent="0.2">
      <c r="W346" s="35">
        <v>3218513.4026886225</v>
      </c>
    </row>
    <row r="347" spans="23:23" x14ac:dyDescent="0.2">
      <c r="W347" s="35">
        <v>1337803.0142038378</v>
      </c>
    </row>
    <row r="348" spans="23:23" x14ac:dyDescent="0.2">
      <c r="W348" s="35">
        <v>2553734.4539568005</v>
      </c>
    </row>
    <row r="349" spans="23:23" x14ac:dyDescent="0.2">
      <c r="W349" s="35">
        <v>1619782.1806207981</v>
      </c>
    </row>
    <row r="350" spans="23:23" x14ac:dyDescent="0.2">
      <c r="W350" s="35">
        <v>3860911.8246743483</v>
      </c>
    </row>
    <row r="351" spans="23:23" x14ac:dyDescent="0.2">
      <c r="W351" s="35">
        <v>3447410.1938071372</v>
      </c>
    </row>
    <row r="352" spans="23:23" x14ac:dyDescent="0.2">
      <c r="W352" s="35">
        <v>841605.05986984062</v>
      </c>
    </row>
    <row r="353" spans="23:23" x14ac:dyDescent="0.2">
      <c r="W353" s="35">
        <v>1438263.2977764425</v>
      </c>
    </row>
    <row r="354" spans="23:23" x14ac:dyDescent="0.2">
      <c r="W354" s="35">
        <v>2459937.0044285138</v>
      </c>
    </row>
    <row r="355" spans="23:23" x14ac:dyDescent="0.2">
      <c r="W355" s="35">
        <v>1951280.3935300752</v>
      </c>
    </row>
    <row r="356" spans="23:23" x14ac:dyDescent="0.2">
      <c r="W356" s="35">
        <v>1226652.5789057952</v>
      </c>
    </row>
    <row r="357" spans="23:23" x14ac:dyDescent="0.2">
      <c r="W357" s="35">
        <v>2282440.0147254718</v>
      </c>
    </row>
    <row r="358" spans="23:23" x14ac:dyDescent="0.2">
      <c r="W358" s="35">
        <v>2588718.5131781269</v>
      </c>
    </row>
    <row r="359" spans="23:23" x14ac:dyDescent="0.2">
      <c r="W359" s="35">
        <v>1023376.530212571</v>
      </c>
    </row>
    <row r="360" spans="23:23" x14ac:dyDescent="0.2">
      <c r="W360" s="35">
        <v>1809181.5873766355</v>
      </c>
    </row>
    <row r="361" spans="23:23" x14ac:dyDescent="0.2">
      <c r="W361" s="35">
        <v>3128642.9649465075</v>
      </c>
    </row>
    <row r="362" spans="23:23" x14ac:dyDescent="0.2">
      <c r="W362" s="35">
        <v>1368161.1360792527</v>
      </c>
    </row>
    <row r="363" spans="23:23" x14ac:dyDescent="0.2">
      <c r="W363" s="35">
        <v>1640368.6499281621</v>
      </c>
    </row>
    <row r="364" spans="23:23" x14ac:dyDescent="0.2">
      <c r="W364" s="35">
        <v>2784086.257174585</v>
      </c>
    </row>
    <row r="365" spans="23:23" x14ac:dyDescent="0.2">
      <c r="W365" s="35">
        <v>2483406.8083584607</v>
      </c>
    </row>
    <row r="366" spans="23:23" x14ac:dyDescent="0.2">
      <c r="W366" s="35">
        <v>1311444.0769072813</v>
      </c>
    </row>
    <row r="367" spans="23:23" x14ac:dyDescent="0.2">
      <c r="W367" s="35">
        <v>1278626.2132232471</v>
      </c>
    </row>
    <row r="368" spans="23:23" x14ac:dyDescent="0.2">
      <c r="W368" s="35">
        <v>1402518.8527372775</v>
      </c>
    </row>
    <row r="369" spans="23:23" x14ac:dyDescent="0.2">
      <c r="W369" s="35">
        <v>2571783.8541580224</v>
      </c>
    </row>
    <row r="370" spans="23:23" x14ac:dyDescent="0.2">
      <c r="W370" s="35">
        <v>1407162.9903249252</v>
      </c>
    </row>
    <row r="371" spans="23:23" x14ac:dyDescent="0.2">
      <c r="W371" s="35">
        <v>3673080.1916470146</v>
      </c>
    </row>
    <row r="372" spans="23:23" x14ac:dyDescent="0.2">
      <c r="W372" s="35">
        <v>2190813.2892610342</v>
      </c>
    </row>
    <row r="373" spans="23:23" x14ac:dyDescent="0.2">
      <c r="W373" s="35">
        <v>745886.40007368347</v>
      </c>
    </row>
    <row r="374" spans="23:23" x14ac:dyDescent="0.2">
      <c r="W374" s="35">
        <v>1644348.8220158662</v>
      </c>
    </row>
    <row r="375" spans="23:23" x14ac:dyDescent="0.2">
      <c r="W375" s="35">
        <v>2355749.1014354797</v>
      </c>
    </row>
    <row r="376" spans="23:23" x14ac:dyDescent="0.2">
      <c r="W376" s="35">
        <v>2021369.8111820074</v>
      </c>
    </row>
    <row r="377" spans="23:23" x14ac:dyDescent="0.2">
      <c r="W377" s="35">
        <v>1402188.0510305981</v>
      </c>
    </row>
    <row r="378" spans="23:23" x14ac:dyDescent="0.2">
      <c r="W378" s="35">
        <v>1037583.1892182963</v>
      </c>
    </row>
    <row r="379" spans="23:23" x14ac:dyDescent="0.2">
      <c r="W379" s="35">
        <v>2462216.8494848828</v>
      </c>
    </row>
    <row r="380" spans="23:23" x14ac:dyDescent="0.2">
      <c r="W380" s="35">
        <v>2799426.3502800534</v>
      </c>
    </row>
    <row r="381" spans="23:23" x14ac:dyDescent="0.2">
      <c r="W381" s="35">
        <v>2099055.0189082786</v>
      </c>
    </row>
    <row r="382" spans="23:23" x14ac:dyDescent="0.2">
      <c r="W382" s="35">
        <v>5705882.8377115857</v>
      </c>
    </row>
    <row r="383" spans="23:23" x14ac:dyDescent="0.2">
      <c r="W383" s="35">
        <v>2013404.6525275644</v>
      </c>
    </row>
    <row r="384" spans="23:23" x14ac:dyDescent="0.2">
      <c r="W384" s="35">
        <v>2772854.5596071039</v>
      </c>
    </row>
    <row r="385" spans="23:23" x14ac:dyDescent="0.2">
      <c r="W385" s="35">
        <v>1763221.8848818911</v>
      </c>
    </row>
    <row r="386" spans="23:23" x14ac:dyDescent="0.2">
      <c r="W386" s="35">
        <v>1416034.5851188009</v>
      </c>
    </row>
    <row r="387" spans="23:23" x14ac:dyDescent="0.2">
      <c r="W387" s="35">
        <v>2907948.051006089</v>
      </c>
    </row>
    <row r="388" spans="23:23" x14ac:dyDescent="0.2">
      <c r="W388" s="35">
        <v>1500988.4345801552</v>
      </c>
    </row>
    <row r="389" spans="23:23" x14ac:dyDescent="0.2">
      <c r="W389" s="35">
        <v>5118558.4052854879</v>
      </c>
    </row>
    <row r="390" spans="23:23" x14ac:dyDescent="0.2">
      <c r="W390" s="35">
        <v>1703839.6382279927</v>
      </c>
    </row>
    <row r="391" spans="23:23" x14ac:dyDescent="0.2">
      <c r="W391" s="35">
        <v>2802883.4625528911</v>
      </c>
    </row>
    <row r="392" spans="23:23" x14ac:dyDescent="0.2">
      <c r="W392" s="35">
        <v>1882983.857289627</v>
      </c>
    </row>
    <row r="393" spans="23:23" x14ac:dyDescent="0.2">
      <c r="W393" s="35">
        <v>1751603.2276965911</v>
      </c>
    </row>
    <row r="394" spans="23:23" x14ac:dyDescent="0.2">
      <c r="W394" s="35">
        <v>2407091.4105641777</v>
      </c>
    </row>
    <row r="395" spans="23:23" x14ac:dyDescent="0.2">
      <c r="W395" s="35">
        <v>2709615.0843614964</v>
      </c>
    </row>
    <row r="396" spans="23:23" x14ac:dyDescent="0.2">
      <c r="W396" s="35">
        <v>1259360.2699173016</v>
      </c>
    </row>
    <row r="397" spans="23:23" x14ac:dyDescent="0.2">
      <c r="W397" s="35">
        <v>2161317.7642845516</v>
      </c>
    </row>
    <row r="398" spans="23:23" x14ac:dyDescent="0.2">
      <c r="W398" s="35">
        <v>1757867.5025644444</v>
      </c>
    </row>
    <row r="399" spans="23:23" x14ac:dyDescent="0.2">
      <c r="W399" s="35">
        <v>4782381.8626719927</v>
      </c>
    </row>
    <row r="400" spans="23:23" x14ac:dyDescent="0.2">
      <c r="W400" s="35">
        <v>1871108.0298090877</v>
      </c>
    </row>
    <row r="401" spans="23:23" x14ac:dyDescent="0.2">
      <c r="W401" s="35">
        <v>5736442.0177018503</v>
      </c>
    </row>
    <row r="402" spans="23:23" x14ac:dyDescent="0.2">
      <c r="W402" s="35">
        <v>1944785.9568609819</v>
      </c>
    </row>
    <row r="403" spans="23:23" x14ac:dyDescent="0.2">
      <c r="W403" s="35">
        <v>2743831.5226239907</v>
      </c>
    </row>
    <row r="404" spans="23:23" x14ac:dyDescent="0.2">
      <c r="W404" s="35">
        <v>1515383.9247371613</v>
      </c>
    </row>
    <row r="405" spans="23:23" x14ac:dyDescent="0.2">
      <c r="W405" s="35">
        <v>1603557.5794123656</v>
      </c>
    </row>
    <row r="406" spans="23:23" x14ac:dyDescent="0.2">
      <c r="W406" s="35">
        <v>1785836.9681519845</v>
      </c>
    </row>
    <row r="407" spans="23:23" x14ac:dyDescent="0.2">
      <c r="W407" s="35">
        <v>2502295.7589600743</v>
      </c>
    </row>
    <row r="408" spans="23:23" x14ac:dyDescent="0.2">
      <c r="W408" s="35">
        <v>2254125.1281816261</v>
      </c>
    </row>
    <row r="409" spans="23:23" x14ac:dyDescent="0.2">
      <c r="W409" s="35">
        <v>1358584.8477735722</v>
      </c>
    </row>
    <row r="410" spans="23:23" x14ac:dyDescent="0.2">
      <c r="W410" s="35">
        <v>1657346.5021447777</v>
      </c>
    </row>
    <row r="411" spans="23:23" x14ac:dyDescent="0.2">
      <c r="W411" s="35">
        <v>1621515.123868613</v>
      </c>
    </row>
    <row r="412" spans="23:23" x14ac:dyDescent="0.2">
      <c r="W412" s="35">
        <v>2290143.631435507</v>
      </c>
    </row>
    <row r="413" spans="23:23" x14ac:dyDescent="0.2">
      <c r="W413" s="35">
        <v>2492336.2314493558</v>
      </c>
    </row>
    <row r="414" spans="23:23" x14ac:dyDescent="0.2">
      <c r="W414" s="35">
        <v>2110612.1779849213</v>
      </c>
    </row>
    <row r="415" spans="23:23" x14ac:dyDescent="0.2">
      <c r="W415" s="35">
        <v>4000000.4977465384</v>
      </c>
    </row>
    <row r="416" spans="23:23" x14ac:dyDescent="0.2">
      <c r="W416" s="35">
        <v>1448654.2781387707</v>
      </c>
    </row>
    <row r="417" spans="23:23" x14ac:dyDescent="0.2">
      <c r="W417" s="35">
        <v>2122874.2323603034</v>
      </c>
    </row>
    <row r="418" spans="23:23" x14ac:dyDescent="0.2">
      <c r="W418" s="35">
        <v>5344175.3377382588</v>
      </c>
    </row>
    <row r="419" spans="23:23" x14ac:dyDescent="0.2">
      <c r="W419" s="35">
        <v>2519151.5719107045</v>
      </c>
    </row>
    <row r="420" spans="23:23" x14ac:dyDescent="0.2">
      <c r="W420" s="35">
        <v>3625151.8622778761</v>
      </c>
    </row>
    <row r="421" spans="23:23" x14ac:dyDescent="0.2">
      <c r="W421" s="35">
        <v>756008.00624149735</v>
      </c>
    </row>
    <row r="422" spans="23:23" x14ac:dyDescent="0.2">
      <c r="W422" s="35">
        <v>1570330.0428512653</v>
      </c>
    </row>
    <row r="423" spans="23:23" x14ac:dyDescent="0.2">
      <c r="W423" s="35">
        <v>3122789.9554624772</v>
      </c>
    </row>
    <row r="424" spans="23:23" x14ac:dyDescent="0.2">
      <c r="W424" s="35">
        <v>2271836.5090865358</v>
      </c>
    </row>
    <row r="425" spans="23:23" x14ac:dyDescent="0.2">
      <c r="W425" s="35">
        <v>2834027.7356356396</v>
      </c>
    </row>
    <row r="426" spans="23:23" x14ac:dyDescent="0.2">
      <c r="W426" s="35">
        <v>2839963.1293440326</v>
      </c>
    </row>
    <row r="427" spans="23:23" x14ac:dyDescent="0.2">
      <c r="W427" s="35">
        <v>1803301.7915300066</v>
      </c>
    </row>
    <row r="428" spans="23:23" x14ac:dyDescent="0.2">
      <c r="W428" s="35">
        <v>1052817.7558717795</v>
      </c>
    </row>
    <row r="429" spans="23:23" x14ac:dyDescent="0.2">
      <c r="W429" s="35">
        <v>1015633.1245521022</v>
      </c>
    </row>
    <row r="430" spans="23:23" x14ac:dyDescent="0.2">
      <c r="W430" s="35">
        <v>4098604.8484129542</v>
      </c>
    </row>
    <row r="431" spans="23:23" x14ac:dyDescent="0.2">
      <c r="W431" s="35">
        <v>4352726.8498798385</v>
      </c>
    </row>
    <row r="432" spans="23:23" x14ac:dyDescent="0.2">
      <c r="W432" s="35">
        <v>1835018.3603811711</v>
      </c>
    </row>
    <row r="433" spans="23:23" x14ac:dyDescent="0.2">
      <c r="W433" s="35">
        <v>1494655.9561088842</v>
      </c>
    </row>
    <row r="434" spans="23:23" x14ac:dyDescent="0.2">
      <c r="W434" s="35">
        <v>1065286.6726859966</v>
      </c>
    </row>
    <row r="435" spans="23:23" x14ac:dyDescent="0.2">
      <c r="W435" s="35">
        <v>2708479.5359198353</v>
      </c>
    </row>
    <row r="436" spans="23:23" x14ac:dyDescent="0.2">
      <c r="W436" s="35">
        <v>2751791.0043382263</v>
      </c>
    </row>
    <row r="437" spans="23:23" x14ac:dyDescent="0.2">
      <c r="W437" s="35">
        <v>1896393.9327722276</v>
      </c>
    </row>
    <row r="438" spans="23:23" x14ac:dyDescent="0.2">
      <c r="W438" s="35">
        <v>1236408.6361346559</v>
      </c>
    </row>
    <row r="439" spans="23:23" x14ac:dyDescent="0.2">
      <c r="W439" s="35">
        <v>3902560.5553433774</v>
      </c>
    </row>
    <row r="440" spans="23:23" x14ac:dyDescent="0.2">
      <c r="W440" s="35">
        <v>1669472.755698069</v>
      </c>
    </row>
    <row r="441" spans="23:23" x14ac:dyDescent="0.2">
      <c r="W441" s="35">
        <v>1990367.6011484368</v>
      </c>
    </row>
    <row r="442" spans="23:23" x14ac:dyDescent="0.2">
      <c r="W442" s="35">
        <v>3538150.6456954391</v>
      </c>
    </row>
    <row r="443" spans="23:23" x14ac:dyDescent="0.2">
      <c r="W443" s="35">
        <v>1535112.5623024094</v>
      </c>
    </row>
    <row r="444" spans="23:23" x14ac:dyDescent="0.2">
      <c r="W444" s="35">
        <v>2763653.0480904886</v>
      </c>
    </row>
    <row r="445" spans="23:23" x14ac:dyDescent="0.2">
      <c r="W445" s="35">
        <v>1275211.8781335731</v>
      </c>
    </row>
    <row r="446" spans="23:23" x14ac:dyDescent="0.2">
      <c r="W446" s="35">
        <v>1657689.8166352406</v>
      </c>
    </row>
    <row r="447" spans="23:23" x14ac:dyDescent="0.2">
      <c r="W447" s="35">
        <v>3374443.1530898823</v>
      </c>
    </row>
    <row r="448" spans="23:23" x14ac:dyDescent="0.2">
      <c r="W448" s="35">
        <v>1985487.8781955056</v>
      </c>
    </row>
    <row r="449" spans="23:23" x14ac:dyDescent="0.2">
      <c r="W449" s="35">
        <v>2317016.7006118591</v>
      </c>
    </row>
    <row r="450" spans="23:23" x14ac:dyDescent="0.2">
      <c r="W450" s="35">
        <v>1539644.0051810341</v>
      </c>
    </row>
    <row r="451" spans="23:23" x14ac:dyDescent="0.2">
      <c r="W451" s="35">
        <v>1618640.6391008028</v>
      </c>
    </row>
    <row r="452" spans="23:23" x14ac:dyDescent="0.2">
      <c r="W452" s="35">
        <v>2323776.5255534216</v>
      </c>
    </row>
    <row r="453" spans="23:23" x14ac:dyDescent="0.2">
      <c r="W453" s="35">
        <v>1167523.8559544878</v>
      </c>
    </row>
    <row r="454" spans="23:23" x14ac:dyDescent="0.2">
      <c r="W454" s="35">
        <v>1590818.9350669789</v>
      </c>
    </row>
    <row r="455" spans="23:23" x14ac:dyDescent="0.2">
      <c r="W455" s="35">
        <v>3900460.0246801674</v>
      </c>
    </row>
    <row r="456" spans="23:23" x14ac:dyDescent="0.2">
      <c r="W456" s="35">
        <v>3838429.505288735</v>
      </c>
    </row>
    <row r="457" spans="23:23" x14ac:dyDescent="0.2">
      <c r="W457" s="35">
        <v>3983542.1764160972</v>
      </c>
    </row>
    <row r="458" spans="23:23" x14ac:dyDescent="0.2">
      <c r="W458" s="35">
        <v>3230236.9872745676</v>
      </c>
    </row>
    <row r="459" spans="23:23" x14ac:dyDescent="0.2">
      <c r="W459" s="35">
        <v>1910728.9427745494</v>
      </c>
    </row>
    <row r="460" spans="23:23" x14ac:dyDescent="0.2">
      <c r="W460" s="35">
        <v>1055010.8545895377</v>
      </c>
    </row>
    <row r="461" spans="23:23" x14ac:dyDescent="0.2">
      <c r="W461" s="35">
        <v>2312513.4250223562</v>
      </c>
    </row>
    <row r="462" spans="23:23" x14ac:dyDescent="0.2">
      <c r="W462" s="35">
        <v>2435093.9700393453</v>
      </c>
    </row>
    <row r="463" spans="23:23" x14ac:dyDescent="0.2">
      <c r="W463" s="35">
        <v>2788820.9357484463</v>
      </c>
    </row>
    <row r="464" spans="23:23" x14ac:dyDescent="0.2">
      <c r="W464" s="35">
        <v>1358881.2935404845</v>
      </c>
    </row>
    <row r="465" spans="23:23" x14ac:dyDescent="0.2">
      <c r="W465" s="35">
        <v>1753284.7497299414</v>
      </c>
    </row>
    <row r="466" spans="23:23" x14ac:dyDescent="0.2">
      <c r="W466" s="35">
        <v>1697684.5072278101</v>
      </c>
    </row>
    <row r="467" spans="23:23" x14ac:dyDescent="0.2">
      <c r="W467" s="35">
        <v>879680.55483119248</v>
      </c>
    </row>
    <row r="468" spans="23:23" x14ac:dyDescent="0.2">
      <c r="W468" s="35">
        <v>2200933.6467008768</v>
      </c>
    </row>
    <row r="469" spans="23:23" x14ac:dyDescent="0.2">
      <c r="W469" s="35">
        <v>3172134.5698854434</v>
      </c>
    </row>
    <row r="470" spans="23:23" x14ac:dyDescent="0.2">
      <c r="W470" s="35">
        <v>1711801.4123212758</v>
      </c>
    </row>
    <row r="471" spans="23:23" x14ac:dyDescent="0.2">
      <c r="W471" s="35">
        <v>888013.90110019641</v>
      </c>
    </row>
    <row r="472" spans="23:23" x14ac:dyDescent="0.2">
      <c r="W472" s="35">
        <v>2754179.0732687861</v>
      </c>
    </row>
    <row r="473" spans="23:23" x14ac:dyDescent="0.2">
      <c r="W473" s="35">
        <v>5776915.056435951</v>
      </c>
    </row>
    <row r="474" spans="23:23" x14ac:dyDescent="0.2">
      <c r="W474" s="35">
        <v>960033.3090968047</v>
      </c>
    </row>
    <row r="475" spans="23:23" x14ac:dyDescent="0.2">
      <c r="W475" s="35">
        <v>2567213.959917313</v>
      </c>
    </row>
    <row r="476" spans="23:23" x14ac:dyDescent="0.2">
      <c r="W476" s="35">
        <v>2708736.8897761796</v>
      </c>
    </row>
    <row r="477" spans="23:23" x14ac:dyDescent="0.2">
      <c r="W477" s="35">
        <v>1749133.797848671</v>
      </c>
    </row>
    <row r="478" spans="23:23" x14ac:dyDescent="0.2">
      <c r="W478" s="35">
        <v>1277340.9740959422</v>
      </c>
    </row>
    <row r="479" spans="23:23" x14ac:dyDescent="0.2">
      <c r="W479" s="35">
        <v>4265565.4844495365</v>
      </c>
    </row>
    <row r="480" spans="23:23" x14ac:dyDescent="0.2">
      <c r="W480" s="35">
        <v>2128138.7383889761</v>
      </c>
    </row>
    <row r="481" spans="23:23" x14ac:dyDescent="0.2">
      <c r="W481" s="35">
        <v>2057389.5241247097</v>
      </c>
    </row>
    <row r="482" spans="23:23" x14ac:dyDescent="0.2">
      <c r="W482" s="35">
        <v>1687348.7022132545</v>
      </c>
    </row>
    <row r="483" spans="23:23" x14ac:dyDescent="0.2">
      <c r="W483" s="35">
        <v>3051007.3613890717</v>
      </c>
    </row>
    <row r="484" spans="23:23" x14ac:dyDescent="0.2">
      <c r="W484" s="35">
        <v>3868186.5417008782</v>
      </c>
    </row>
    <row r="485" spans="23:23" x14ac:dyDescent="0.2">
      <c r="W485" s="35">
        <v>2482081.4741143547</v>
      </c>
    </row>
    <row r="486" spans="23:23" x14ac:dyDescent="0.2">
      <c r="W486" s="35">
        <v>1289664.5595191859</v>
      </c>
    </row>
    <row r="487" spans="23:23" x14ac:dyDescent="0.2">
      <c r="W487" s="35">
        <v>2614748.9812385673</v>
      </c>
    </row>
    <row r="488" spans="23:23" x14ac:dyDescent="0.2">
      <c r="W488" s="35">
        <v>1902539.9932201686</v>
      </c>
    </row>
    <row r="489" spans="23:23" x14ac:dyDescent="0.2">
      <c r="W489" s="35">
        <v>2841513.9290659428</v>
      </c>
    </row>
    <row r="490" spans="23:23" x14ac:dyDescent="0.2">
      <c r="W490" s="35">
        <v>1294238.4982972164</v>
      </c>
    </row>
    <row r="491" spans="23:23" x14ac:dyDescent="0.2">
      <c r="W491" s="35">
        <v>925731.14921886229</v>
      </c>
    </row>
    <row r="492" spans="23:23" x14ac:dyDescent="0.2">
      <c r="W492" s="35">
        <v>2508868.733555303</v>
      </c>
    </row>
    <row r="493" spans="23:23" x14ac:dyDescent="0.2">
      <c r="W493" s="35">
        <v>2281836.9447848829</v>
      </c>
    </row>
    <row r="494" spans="23:23" x14ac:dyDescent="0.2">
      <c r="W494" s="35">
        <v>1588836.1635611765</v>
      </c>
    </row>
    <row r="495" spans="23:23" x14ac:dyDescent="0.2">
      <c r="W495" s="35">
        <v>877094.28540930967</v>
      </c>
    </row>
    <row r="496" spans="23:23" x14ac:dyDescent="0.2">
      <c r="W496" s="35">
        <v>2923689.8733814978</v>
      </c>
    </row>
    <row r="497" spans="23:23" x14ac:dyDescent="0.2">
      <c r="W497" s="35">
        <v>1536300.4498799613</v>
      </c>
    </row>
    <row r="498" spans="23:23" x14ac:dyDescent="0.2">
      <c r="W498" s="35">
        <v>2128107.8753043753</v>
      </c>
    </row>
    <row r="499" spans="23:23" x14ac:dyDescent="0.2">
      <c r="W499" s="35">
        <v>2949835.7014971888</v>
      </c>
    </row>
    <row r="500" spans="23:23" x14ac:dyDescent="0.2">
      <c r="W500" s="35">
        <v>1498364.9711257271</v>
      </c>
    </row>
    <row r="501" spans="23:23" x14ac:dyDescent="0.2">
      <c r="W501" s="35">
        <v>3679770.9874553485</v>
      </c>
    </row>
    <row r="502" spans="23:23" x14ac:dyDescent="0.2">
      <c r="W502" s="35">
        <v>3024639.84588878</v>
      </c>
    </row>
    <row r="503" spans="23:23" x14ac:dyDescent="0.2">
      <c r="W503" s="35">
        <v>2447326.0756587544</v>
      </c>
    </row>
    <row r="504" spans="23:23" x14ac:dyDescent="0.2">
      <c r="W504" s="35">
        <v>3414742.8381152716</v>
      </c>
    </row>
    <row r="505" spans="23:23" x14ac:dyDescent="0.2">
      <c r="W505" s="35">
        <v>2366133.2316927449</v>
      </c>
    </row>
    <row r="506" spans="23:23" x14ac:dyDescent="0.2">
      <c r="W506" s="35">
        <v>1086279.070282704</v>
      </c>
    </row>
    <row r="507" spans="23:23" x14ac:dyDescent="0.2">
      <c r="W507" s="35">
        <v>2772838.8076137793</v>
      </c>
    </row>
    <row r="508" spans="23:23" x14ac:dyDescent="0.2">
      <c r="W508" s="35">
        <v>1107648.5109164789</v>
      </c>
    </row>
    <row r="509" spans="23:23" x14ac:dyDescent="0.2">
      <c r="W509" s="35">
        <v>2684556.7332675317</v>
      </c>
    </row>
    <row r="510" spans="23:23" x14ac:dyDescent="0.2">
      <c r="W510" s="35">
        <v>2952702.2810430317</v>
      </c>
    </row>
    <row r="511" spans="23:23" x14ac:dyDescent="0.2">
      <c r="W511" s="35">
        <v>3162617.6681858106</v>
      </c>
    </row>
    <row r="512" spans="23:23" x14ac:dyDescent="0.2">
      <c r="W512" s="35">
        <v>1904532.8472305324</v>
      </c>
    </row>
    <row r="513" spans="23:23" x14ac:dyDescent="0.2">
      <c r="W513" s="35">
        <v>1226434.1745878949</v>
      </c>
    </row>
    <row r="514" spans="23:23" x14ac:dyDescent="0.2">
      <c r="W514" s="35">
        <v>1988183.0215289991</v>
      </c>
    </row>
    <row r="515" spans="23:23" x14ac:dyDescent="0.2">
      <c r="W515" s="35">
        <v>1745062.5640474062</v>
      </c>
    </row>
    <row r="516" spans="23:23" x14ac:dyDescent="0.2">
      <c r="W516" s="35">
        <v>1730694.6947794806</v>
      </c>
    </row>
    <row r="517" spans="23:23" x14ac:dyDescent="0.2">
      <c r="W517" s="35">
        <v>1135491.9021315933</v>
      </c>
    </row>
    <row r="518" spans="23:23" x14ac:dyDescent="0.2">
      <c r="W518" s="35">
        <v>2445853.9061041665</v>
      </c>
    </row>
    <row r="519" spans="23:23" x14ac:dyDescent="0.2">
      <c r="W519" s="35">
        <v>3161128.5214076322</v>
      </c>
    </row>
    <row r="520" spans="23:23" x14ac:dyDescent="0.2">
      <c r="W520" s="35">
        <v>1350307.7841697177</v>
      </c>
    </row>
    <row r="521" spans="23:23" x14ac:dyDescent="0.2">
      <c r="W521" s="35">
        <v>1357284.079553142</v>
      </c>
    </row>
    <row r="522" spans="23:23" x14ac:dyDescent="0.2">
      <c r="W522" s="35">
        <v>5283903.5766785834</v>
      </c>
    </row>
    <row r="523" spans="23:23" x14ac:dyDescent="0.2">
      <c r="W523" s="35">
        <v>1704871.1644760254</v>
      </c>
    </row>
    <row r="524" spans="23:23" x14ac:dyDescent="0.2">
      <c r="W524" s="35">
        <v>1849419.1268609839</v>
      </c>
    </row>
    <row r="525" spans="23:23" x14ac:dyDescent="0.2">
      <c r="W525" s="35">
        <v>1893412.8262994706</v>
      </c>
    </row>
    <row r="526" spans="23:23" x14ac:dyDescent="0.2">
      <c r="W526" s="35">
        <v>2381930.1041537523</v>
      </c>
    </row>
    <row r="527" spans="23:23" x14ac:dyDescent="0.2">
      <c r="W527" s="35">
        <v>1904470.5173980959</v>
      </c>
    </row>
    <row r="528" spans="23:23" x14ac:dyDescent="0.2">
      <c r="W528" s="35">
        <v>1497286.5300737873</v>
      </c>
    </row>
    <row r="529" spans="23:23" x14ac:dyDescent="0.2">
      <c r="W529" s="35">
        <v>3204628.2616200335</v>
      </c>
    </row>
    <row r="530" spans="23:23" x14ac:dyDescent="0.2">
      <c r="W530" s="35">
        <v>4139688.7384906877</v>
      </c>
    </row>
    <row r="531" spans="23:23" x14ac:dyDescent="0.2">
      <c r="W531" s="35">
        <v>1332204.154881567</v>
      </c>
    </row>
    <row r="532" spans="23:23" x14ac:dyDescent="0.2">
      <c r="W532" s="35">
        <v>1651809.5580427188</v>
      </c>
    </row>
    <row r="533" spans="23:23" x14ac:dyDescent="0.2">
      <c r="W533" s="35">
        <v>957726.58238658856</v>
      </c>
    </row>
    <row r="534" spans="23:23" x14ac:dyDescent="0.2">
      <c r="W534" s="35">
        <v>1599318.9384432286</v>
      </c>
    </row>
    <row r="535" spans="23:23" x14ac:dyDescent="0.2">
      <c r="W535" s="35">
        <v>1925900.733425308</v>
      </c>
    </row>
    <row r="536" spans="23:23" x14ac:dyDescent="0.2">
      <c r="W536" s="35">
        <v>2726021.6200168752</v>
      </c>
    </row>
    <row r="537" spans="23:23" x14ac:dyDescent="0.2">
      <c r="W537" s="35">
        <v>1605244.0874413752</v>
      </c>
    </row>
    <row r="538" spans="23:23" x14ac:dyDescent="0.2">
      <c r="W538" s="35">
        <v>1549729.1857562654</v>
      </c>
    </row>
    <row r="539" spans="23:23" x14ac:dyDescent="0.2">
      <c r="W539" s="35">
        <v>2267201.9681688244</v>
      </c>
    </row>
    <row r="540" spans="23:23" x14ac:dyDescent="0.2">
      <c r="W540" s="35">
        <v>1698879.6015241926</v>
      </c>
    </row>
    <row r="541" spans="23:23" x14ac:dyDescent="0.2">
      <c r="W541" s="35">
        <v>2402336.0011936426</v>
      </c>
    </row>
    <row r="542" spans="23:23" x14ac:dyDescent="0.2">
      <c r="W542" s="35">
        <v>887723.44093348971</v>
      </c>
    </row>
    <row r="543" spans="23:23" x14ac:dyDescent="0.2">
      <c r="W543" s="35">
        <v>1344811.2697821336</v>
      </c>
    </row>
    <row r="544" spans="23:23" x14ac:dyDescent="0.2">
      <c r="W544" s="35">
        <v>1425385.5207884943</v>
      </c>
    </row>
    <row r="545" spans="23:23" x14ac:dyDescent="0.2">
      <c r="W545" s="35">
        <v>1791866.4380459471</v>
      </c>
    </row>
    <row r="546" spans="23:23" x14ac:dyDescent="0.2">
      <c r="W546" s="35">
        <v>4674615.3829435082</v>
      </c>
    </row>
    <row r="547" spans="23:23" x14ac:dyDescent="0.2">
      <c r="W547" s="35">
        <v>1178890.3359653484</v>
      </c>
    </row>
    <row r="548" spans="23:23" x14ac:dyDescent="0.2">
      <c r="W548" s="35">
        <v>1929363.8587027099</v>
      </c>
    </row>
    <row r="549" spans="23:23" x14ac:dyDescent="0.2">
      <c r="W549" s="35">
        <v>3010671.5342087145</v>
      </c>
    </row>
    <row r="550" spans="23:23" x14ac:dyDescent="0.2">
      <c r="W550" s="35">
        <v>2218920.9513478116</v>
      </c>
    </row>
    <row r="551" spans="23:23" x14ac:dyDescent="0.2">
      <c r="W551" s="35">
        <v>4432529.0908980295</v>
      </c>
    </row>
    <row r="552" spans="23:23" x14ac:dyDescent="0.2">
      <c r="W552" s="35">
        <v>1344578.0150787393</v>
      </c>
    </row>
    <row r="553" spans="23:23" x14ac:dyDescent="0.2">
      <c r="W553" s="35">
        <v>1091207.6037074884</v>
      </c>
    </row>
    <row r="554" spans="23:23" x14ac:dyDescent="0.2">
      <c r="W554" s="35">
        <v>2304135.6127686743</v>
      </c>
    </row>
    <row r="555" spans="23:23" x14ac:dyDescent="0.2">
      <c r="W555" s="35">
        <v>2066989.2902051702</v>
      </c>
    </row>
    <row r="556" spans="23:23" x14ac:dyDescent="0.2">
      <c r="W556" s="35">
        <v>3065318.2003170517</v>
      </c>
    </row>
    <row r="557" spans="23:23" x14ac:dyDescent="0.2">
      <c r="W557" s="35">
        <v>2098889.2540135002</v>
      </c>
    </row>
    <row r="558" spans="23:23" x14ac:dyDescent="0.2">
      <c r="W558" s="35">
        <v>1962554.5057674183</v>
      </c>
    </row>
    <row r="559" spans="23:23" x14ac:dyDescent="0.2">
      <c r="W559" s="35">
        <v>2381863.8658785918</v>
      </c>
    </row>
    <row r="560" spans="23:23" x14ac:dyDescent="0.2">
      <c r="W560" s="35">
        <v>2272836.7091904082</v>
      </c>
    </row>
    <row r="561" spans="23:23" x14ac:dyDescent="0.2">
      <c r="W561" s="35">
        <v>590823.85605833435</v>
      </c>
    </row>
    <row r="562" spans="23:23" x14ac:dyDescent="0.2">
      <c r="W562" s="35">
        <v>3188489.1560275913</v>
      </c>
    </row>
    <row r="563" spans="23:23" x14ac:dyDescent="0.2">
      <c r="W563" s="35">
        <v>1670034.4074123427</v>
      </c>
    </row>
    <row r="564" spans="23:23" x14ac:dyDescent="0.2">
      <c r="W564" s="35">
        <v>1643041.5730686467</v>
      </c>
    </row>
    <row r="565" spans="23:23" x14ac:dyDescent="0.2">
      <c r="W565" s="35">
        <v>2494922.2394624818</v>
      </c>
    </row>
    <row r="566" spans="23:23" x14ac:dyDescent="0.2">
      <c r="W566" s="35">
        <v>2259561.5319422921</v>
      </c>
    </row>
    <row r="567" spans="23:23" x14ac:dyDescent="0.2">
      <c r="W567" s="35">
        <v>1037891.9957370239</v>
      </c>
    </row>
    <row r="568" spans="23:23" x14ac:dyDescent="0.2">
      <c r="W568" s="35">
        <v>1769669.4706556653</v>
      </c>
    </row>
    <row r="569" spans="23:23" x14ac:dyDescent="0.2">
      <c r="W569" s="35">
        <v>3680580.3595566601</v>
      </c>
    </row>
    <row r="570" spans="23:23" x14ac:dyDescent="0.2">
      <c r="W570" s="35">
        <v>3610443.7242929842</v>
      </c>
    </row>
    <row r="571" spans="23:23" x14ac:dyDescent="0.2">
      <c r="W571" s="35">
        <v>1761520.0624229887</v>
      </c>
    </row>
    <row r="572" spans="23:23" x14ac:dyDescent="0.2">
      <c r="W572" s="35">
        <v>848522.32662074186</v>
      </c>
    </row>
    <row r="573" spans="23:23" x14ac:dyDescent="0.2">
      <c r="W573" s="35">
        <v>2066625.6313298468</v>
      </c>
    </row>
    <row r="574" spans="23:23" x14ac:dyDescent="0.2">
      <c r="W574" s="35">
        <v>2434614.9029884893</v>
      </c>
    </row>
    <row r="575" spans="23:23" x14ac:dyDescent="0.2">
      <c r="W575" s="35">
        <v>2393192.7107319711</v>
      </c>
    </row>
    <row r="576" spans="23:23" x14ac:dyDescent="0.2">
      <c r="W576" s="35">
        <v>3562882.913293683</v>
      </c>
    </row>
    <row r="577" spans="23:23" x14ac:dyDescent="0.2">
      <c r="W577" s="35">
        <v>1354137.3889687678</v>
      </c>
    </row>
    <row r="578" spans="23:23" x14ac:dyDescent="0.2">
      <c r="W578" s="35">
        <v>1113192.6579683353</v>
      </c>
    </row>
    <row r="579" spans="23:23" x14ac:dyDescent="0.2">
      <c r="W579" s="35">
        <v>1428016.3515899552</v>
      </c>
    </row>
    <row r="580" spans="23:23" x14ac:dyDescent="0.2">
      <c r="W580" s="35">
        <v>2698783.636892016</v>
      </c>
    </row>
    <row r="581" spans="23:23" x14ac:dyDescent="0.2">
      <c r="W581" s="35">
        <v>1388334.4690274973</v>
      </c>
    </row>
    <row r="582" spans="23:23" x14ac:dyDescent="0.2">
      <c r="W582" s="35">
        <v>2551687.1895310581</v>
      </c>
    </row>
    <row r="583" spans="23:23" x14ac:dyDescent="0.2">
      <c r="W583" s="35">
        <v>2714571.2631181222</v>
      </c>
    </row>
    <row r="584" spans="23:23" x14ac:dyDescent="0.2">
      <c r="W584" s="35">
        <v>1955147.6803969105</v>
      </c>
    </row>
    <row r="585" spans="23:23" x14ac:dyDescent="0.2">
      <c r="W585" s="35">
        <v>1765983.3271013082</v>
      </c>
    </row>
    <row r="586" spans="23:23" x14ac:dyDescent="0.2">
      <c r="W586" s="35">
        <v>1622074.7889110127</v>
      </c>
    </row>
    <row r="587" spans="23:23" x14ac:dyDescent="0.2">
      <c r="W587" s="35">
        <v>2569063.9771569287</v>
      </c>
    </row>
    <row r="588" spans="23:23" x14ac:dyDescent="0.2">
      <c r="W588" s="35">
        <v>1853686.9983164512</v>
      </c>
    </row>
    <row r="589" spans="23:23" x14ac:dyDescent="0.2">
      <c r="W589" s="35">
        <v>1559122.8650923457</v>
      </c>
    </row>
    <row r="590" spans="23:23" x14ac:dyDescent="0.2">
      <c r="W590" s="35">
        <v>2199631.1413469291</v>
      </c>
    </row>
    <row r="591" spans="23:23" x14ac:dyDescent="0.2">
      <c r="W591" s="35">
        <v>1551592.0791694373</v>
      </c>
    </row>
    <row r="592" spans="23:23" x14ac:dyDescent="0.2">
      <c r="W592" s="35">
        <v>3327000.7977726255</v>
      </c>
    </row>
    <row r="593" spans="23:23" x14ac:dyDescent="0.2">
      <c r="W593" s="35">
        <v>2456659.8035054696</v>
      </c>
    </row>
    <row r="594" spans="23:23" x14ac:dyDescent="0.2">
      <c r="W594" s="35">
        <v>2059847.4661657433</v>
      </c>
    </row>
    <row r="595" spans="23:23" x14ac:dyDescent="0.2">
      <c r="W595" s="35">
        <v>1854856.3569024829</v>
      </c>
    </row>
    <row r="596" spans="23:23" x14ac:dyDescent="0.2">
      <c r="W596" s="35">
        <v>2831206.1135623441</v>
      </c>
    </row>
    <row r="597" spans="23:23" x14ac:dyDescent="0.2">
      <c r="W597" s="35">
        <v>1354961.5518805431</v>
      </c>
    </row>
    <row r="598" spans="23:23" x14ac:dyDescent="0.2">
      <c r="W598" s="35">
        <v>1978375.8007973596</v>
      </c>
    </row>
    <row r="599" spans="23:23" x14ac:dyDescent="0.2">
      <c r="W599" s="35">
        <v>1324711.9480487299</v>
      </c>
    </row>
    <row r="600" spans="23:23" x14ac:dyDescent="0.2">
      <c r="W600" s="35">
        <v>3057990.2258814522</v>
      </c>
    </row>
    <row r="601" spans="23:23" x14ac:dyDescent="0.2">
      <c r="W601" s="35">
        <v>1726972.3209084168</v>
      </c>
    </row>
    <row r="602" spans="23:23" x14ac:dyDescent="0.2">
      <c r="W602" s="35">
        <v>1485599.5786102279</v>
      </c>
    </row>
    <row r="603" spans="23:23" x14ac:dyDescent="0.2">
      <c r="W603" s="35">
        <v>1501171.7685439605</v>
      </c>
    </row>
    <row r="604" spans="23:23" x14ac:dyDescent="0.2">
      <c r="W604" s="35">
        <v>2501104.7528682966</v>
      </c>
    </row>
    <row r="605" spans="23:23" x14ac:dyDescent="0.2">
      <c r="W605" s="35">
        <v>2746189.3605721178</v>
      </c>
    </row>
    <row r="606" spans="23:23" x14ac:dyDescent="0.2">
      <c r="W606" s="35">
        <v>1883969.82180808</v>
      </c>
    </row>
    <row r="607" spans="23:23" x14ac:dyDescent="0.2">
      <c r="W607" s="35">
        <v>3384004.2923664851</v>
      </c>
    </row>
    <row r="608" spans="23:23" x14ac:dyDescent="0.2">
      <c r="W608" s="35">
        <v>2052207.162642783</v>
      </c>
    </row>
    <row r="609" spans="23:23" x14ac:dyDescent="0.2">
      <c r="W609" s="35">
        <v>1870540.0111272221</v>
      </c>
    </row>
    <row r="610" spans="23:23" x14ac:dyDescent="0.2">
      <c r="W610" s="35">
        <v>1216844.631569173</v>
      </c>
    </row>
    <row r="611" spans="23:23" x14ac:dyDescent="0.2">
      <c r="W611" s="35">
        <v>3122050.3107238957</v>
      </c>
    </row>
    <row r="612" spans="23:23" x14ac:dyDescent="0.2">
      <c r="W612" s="35">
        <v>2704496.975853127</v>
      </c>
    </row>
    <row r="613" spans="23:23" x14ac:dyDescent="0.2">
      <c r="W613" s="35">
        <v>2517312.070436988</v>
      </c>
    </row>
    <row r="614" spans="23:23" x14ac:dyDescent="0.2">
      <c r="W614" s="35">
        <v>2916189.8962537404</v>
      </c>
    </row>
    <row r="615" spans="23:23" x14ac:dyDescent="0.2">
      <c r="W615" s="35">
        <v>3113591.3314772719</v>
      </c>
    </row>
    <row r="616" spans="23:23" x14ac:dyDescent="0.2">
      <c r="W616" s="35">
        <v>1021921.6831007418</v>
      </c>
    </row>
    <row r="617" spans="23:23" x14ac:dyDescent="0.2">
      <c r="W617" s="35">
        <v>4535184.7043608753</v>
      </c>
    </row>
    <row r="618" spans="23:23" x14ac:dyDescent="0.2">
      <c r="W618" s="35">
        <v>1744433.1485751476</v>
      </c>
    </row>
    <row r="619" spans="23:23" x14ac:dyDescent="0.2">
      <c r="W619" s="35">
        <v>978398.80999784113</v>
      </c>
    </row>
    <row r="620" spans="23:23" x14ac:dyDescent="0.2">
      <c r="W620" s="35">
        <v>2738870.3878590576</v>
      </c>
    </row>
    <row r="621" spans="23:23" x14ac:dyDescent="0.2">
      <c r="W621" s="35">
        <v>1122199.338192496</v>
      </c>
    </row>
    <row r="622" spans="23:23" x14ac:dyDescent="0.2">
      <c r="W622" s="35">
        <v>2641850.8543135305</v>
      </c>
    </row>
    <row r="623" spans="23:23" x14ac:dyDescent="0.2">
      <c r="W623" s="35">
        <v>704356.28293446556</v>
      </c>
    </row>
    <row r="624" spans="23:23" x14ac:dyDescent="0.2">
      <c r="W624" s="35">
        <v>1072376.7761220501</v>
      </c>
    </row>
    <row r="625" spans="23:23" x14ac:dyDescent="0.2">
      <c r="W625" s="35">
        <v>2630930.2311774683</v>
      </c>
    </row>
    <row r="626" spans="23:23" x14ac:dyDescent="0.2">
      <c r="W626" s="35">
        <v>1464319.5624192657</v>
      </c>
    </row>
    <row r="627" spans="23:23" x14ac:dyDescent="0.2">
      <c r="W627" s="35">
        <v>2266939.2836173214</v>
      </c>
    </row>
    <row r="628" spans="23:23" x14ac:dyDescent="0.2">
      <c r="W628" s="35">
        <v>1398295.5788465678</v>
      </c>
    </row>
    <row r="629" spans="23:23" x14ac:dyDescent="0.2">
      <c r="W629" s="35">
        <v>5485151.6554409033</v>
      </c>
    </row>
    <row r="630" spans="23:23" x14ac:dyDescent="0.2">
      <c r="W630" s="35">
        <v>2677644.0402135025</v>
      </c>
    </row>
    <row r="631" spans="23:23" x14ac:dyDescent="0.2">
      <c r="W631" s="35">
        <v>1842519.6516298365</v>
      </c>
    </row>
    <row r="632" spans="23:23" x14ac:dyDescent="0.2">
      <c r="W632" s="35">
        <v>1102343.9697790826</v>
      </c>
    </row>
    <row r="633" spans="23:23" x14ac:dyDescent="0.2">
      <c r="W633" s="35">
        <v>2177967.3939081193</v>
      </c>
    </row>
    <row r="634" spans="23:23" x14ac:dyDescent="0.2">
      <c r="W634" s="35">
        <v>2247588.4201017837</v>
      </c>
    </row>
    <row r="635" spans="23:23" x14ac:dyDescent="0.2">
      <c r="W635" s="35">
        <v>1771270.8374618946</v>
      </c>
    </row>
    <row r="636" spans="23:23" x14ac:dyDescent="0.2">
      <c r="W636" s="35">
        <v>3052470.5615539504</v>
      </c>
    </row>
    <row r="637" spans="23:23" x14ac:dyDescent="0.2">
      <c r="W637" s="35">
        <v>2759230.4186534868</v>
      </c>
    </row>
    <row r="638" spans="23:23" x14ac:dyDescent="0.2">
      <c r="W638" s="35">
        <v>1271965.5983734573</v>
      </c>
    </row>
    <row r="639" spans="23:23" x14ac:dyDescent="0.2">
      <c r="W639" s="35">
        <v>2107323.7852415959</v>
      </c>
    </row>
    <row r="640" spans="23:23" x14ac:dyDescent="0.2">
      <c r="W640" s="35">
        <v>1092085.9199795846</v>
      </c>
    </row>
    <row r="641" spans="23:23" x14ac:dyDescent="0.2">
      <c r="W641" s="35">
        <v>769588.56072594272</v>
      </c>
    </row>
    <row r="642" spans="23:23" x14ac:dyDescent="0.2">
      <c r="W642" s="35">
        <v>1730425.4502537458</v>
      </c>
    </row>
    <row r="643" spans="23:23" x14ac:dyDescent="0.2">
      <c r="W643" s="35">
        <v>1157821.8539856104</v>
      </c>
    </row>
    <row r="644" spans="23:23" x14ac:dyDescent="0.2">
      <c r="W644" s="35">
        <v>5459116.5920543941</v>
      </c>
    </row>
    <row r="645" spans="23:23" x14ac:dyDescent="0.2">
      <c r="W645" s="35">
        <v>2449525.5468838145</v>
      </c>
    </row>
    <row r="646" spans="23:23" x14ac:dyDescent="0.2">
      <c r="W646" s="35">
        <v>2406585.6082078828</v>
      </c>
    </row>
    <row r="647" spans="23:23" x14ac:dyDescent="0.2">
      <c r="W647" s="35">
        <v>3479299.3124806164</v>
      </c>
    </row>
    <row r="648" spans="23:23" x14ac:dyDescent="0.2">
      <c r="W648" s="35">
        <v>746768.11491943081</v>
      </c>
    </row>
    <row r="649" spans="23:23" x14ac:dyDescent="0.2">
      <c r="W649" s="35">
        <v>2781501.2524406542</v>
      </c>
    </row>
    <row r="650" spans="23:23" x14ac:dyDescent="0.2">
      <c r="W650" s="35">
        <v>1017631.2550436115</v>
      </c>
    </row>
    <row r="651" spans="23:23" x14ac:dyDescent="0.2">
      <c r="W651" s="35">
        <v>2731501.7427277197</v>
      </c>
    </row>
    <row r="652" spans="23:23" x14ac:dyDescent="0.2">
      <c r="W652" s="35">
        <v>1670360.1389070961</v>
      </c>
    </row>
    <row r="653" spans="23:23" x14ac:dyDescent="0.2">
      <c r="W653" s="35">
        <v>1786296.8789429138</v>
      </c>
    </row>
    <row r="654" spans="23:23" x14ac:dyDescent="0.2">
      <c r="W654" s="35">
        <v>2579274.2572991331</v>
      </c>
    </row>
    <row r="655" spans="23:23" x14ac:dyDescent="0.2">
      <c r="W655" s="35">
        <v>2051755.2098598015</v>
      </c>
    </row>
    <row r="656" spans="23:23" x14ac:dyDescent="0.2">
      <c r="W656" s="35">
        <v>1561097.0062153991</v>
      </c>
    </row>
    <row r="657" spans="23:23" x14ac:dyDescent="0.2">
      <c r="W657" s="35">
        <v>1051658.5296920908</v>
      </c>
    </row>
    <row r="658" spans="23:23" x14ac:dyDescent="0.2">
      <c r="W658" s="35">
        <v>1589141.2810877308</v>
      </c>
    </row>
    <row r="659" spans="23:23" x14ac:dyDescent="0.2">
      <c r="W659" s="35">
        <v>724490.58070381428</v>
      </c>
    </row>
    <row r="660" spans="23:23" x14ac:dyDescent="0.2">
      <c r="W660" s="35">
        <v>1287075.464411648</v>
      </c>
    </row>
    <row r="661" spans="23:23" x14ac:dyDescent="0.2">
      <c r="W661" s="35">
        <v>2018663.683442937</v>
      </c>
    </row>
    <row r="662" spans="23:23" x14ac:dyDescent="0.2">
      <c r="W662" s="35">
        <v>1229833.4566872492</v>
      </c>
    </row>
    <row r="663" spans="23:23" x14ac:dyDescent="0.2">
      <c r="W663" s="35">
        <v>1920217.0943077696</v>
      </c>
    </row>
    <row r="664" spans="23:23" x14ac:dyDescent="0.2">
      <c r="W664" s="35">
        <v>1447272.6848753882</v>
      </c>
    </row>
    <row r="665" spans="23:23" x14ac:dyDescent="0.2">
      <c r="W665" s="35">
        <v>1852273.240393209</v>
      </c>
    </row>
    <row r="666" spans="23:23" x14ac:dyDescent="0.2">
      <c r="W666" s="35">
        <v>1413330.5652605924</v>
      </c>
    </row>
    <row r="667" spans="23:23" x14ac:dyDescent="0.2">
      <c r="W667" s="35">
        <v>3772729.4680568893</v>
      </c>
    </row>
    <row r="668" spans="23:23" x14ac:dyDescent="0.2">
      <c r="W668" s="35">
        <v>5057459.1592597803</v>
      </c>
    </row>
    <row r="669" spans="23:23" x14ac:dyDescent="0.2">
      <c r="W669" s="35">
        <v>3931230.1854409464</v>
      </c>
    </row>
    <row r="670" spans="23:23" x14ac:dyDescent="0.2">
      <c r="W670" s="35">
        <v>2257817.9149666205</v>
      </c>
    </row>
    <row r="671" spans="23:23" x14ac:dyDescent="0.2">
      <c r="W671" s="35">
        <v>1550496.1622158031</v>
      </c>
    </row>
    <row r="672" spans="23:23" x14ac:dyDescent="0.2">
      <c r="W672" s="35">
        <v>2459389.1124720862</v>
      </c>
    </row>
    <row r="673" spans="23:23" x14ac:dyDescent="0.2">
      <c r="W673" s="35">
        <v>3373472.7908571465</v>
      </c>
    </row>
    <row r="674" spans="23:23" x14ac:dyDescent="0.2">
      <c r="W674" s="35">
        <v>1023526.5805534539</v>
      </c>
    </row>
    <row r="675" spans="23:23" x14ac:dyDescent="0.2">
      <c r="W675" s="35">
        <v>1408811.7353379885</v>
      </c>
    </row>
    <row r="676" spans="23:23" x14ac:dyDescent="0.2">
      <c r="W676" s="35">
        <v>811208.36729543295</v>
      </c>
    </row>
    <row r="677" spans="23:23" x14ac:dyDescent="0.2">
      <c r="W677" s="35">
        <v>2129806.5756906229</v>
      </c>
    </row>
    <row r="678" spans="23:23" x14ac:dyDescent="0.2">
      <c r="W678" s="35">
        <v>928576.62583678553</v>
      </c>
    </row>
    <row r="679" spans="23:23" x14ac:dyDescent="0.2">
      <c r="W679" s="35">
        <v>2188149.1221355642</v>
      </c>
    </row>
    <row r="680" spans="23:23" x14ac:dyDescent="0.2">
      <c r="W680" s="35">
        <v>1703525.616858107</v>
      </c>
    </row>
    <row r="681" spans="23:23" x14ac:dyDescent="0.2">
      <c r="W681" s="35">
        <v>2442381.8263752712</v>
      </c>
    </row>
    <row r="682" spans="23:23" x14ac:dyDescent="0.2">
      <c r="W682" s="35">
        <v>2527293.6215280304</v>
      </c>
    </row>
    <row r="683" spans="23:23" x14ac:dyDescent="0.2">
      <c r="W683" s="35">
        <v>3790878.9339680602</v>
      </c>
    </row>
    <row r="684" spans="23:23" x14ac:dyDescent="0.2">
      <c r="W684" s="35">
        <v>2603469.2867506091</v>
      </c>
    </row>
    <row r="685" spans="23:23" x14ac:dyDescent="0.2">
      <c r="W685" s="35">
        <v>2169527.6788419224</v>
      </c>
    </row>
    <row r="686" spans="23:23" x14ac:dyDescent="0.2">
      <c r="W686" s="35">
        <v>1593860.6356850516</v>
      </c>
    </row>
    <row r="687" spans="23:23" x14ac:dyDescent="0.2">
      <c r="W687" s="35">
        <v>1844296.3558291877</v>
      </c>
    </row>
    <row r="688" spans="23:23" x14ac:dyDescent="0.2">
      <c r="W688" s="35">
        <v>2014322.8020522138</v>
      </c>
    </row>
    <row r="689" spans="23:23" x14ac:dyDescent="0.2">
      <c r="W689" s="35">
        <v>2404750.8197343065</v>
      </c>
    </row>
    <row r="690" spans="23:23" x14ac:dyDescent="0.2">
      <c r="W690" s="35">
        <v>4601749.1890609404</v>
      </c>
    </row>
    <row r="691" spans="23:23" x14ac:dyDescent="0.2">
      <c r="W691" s="35">
        <v>3153960.0293101757</v>
      </c>
    </row>
    <row r="692" spans="23:23" x14ac:dyDescent="0.2">
      <c r="W692" s="35">
        <v>1288768.4789830984</v>
      </c>
    </row>
    <row r="693" spans="23:23" x14ac:dyDescent="0.2">
      <c r="W693" s="35">
        <v>1140657.1433000071</v>
      </c>
    </row>
    <row r="694" spans="23:23" x14ac:dyDescent="0.2">
      <c r="W694" s="35">
        <v>1972432.5666595707</v>
      </c>
    </row>
    <row r="695" spans="23:23" x14ac:dyDescent="0.2">
      <c r="W695" s="35">
        <v>4013601.8470352404</v>
      </c>
    </row>
    <row r="696" spans="23:23" x14ac:dyDescent="0.2">
      <c r="W696" s="35">
        <v>1517189.1869960963</v>
      </c>
    </row>
    <row r="697" spans="23:23" x14ac:dyDescent="0.2">
      <c r="W697" s="35">
        <v>3170075.3418848864</v>
      </c>
    </row>
    <row r="698" spans="23:23" x14ac:dyDescent="0.2">
      <c r="W698" s="35">
        <v>1807128.7025958351</v>
      </c>
    </row>
    <row r="699" spans="23:23" x14ac:dyDescent="0.2">
      <c r="W699" s="35">
        <v>758926.75492065272</v>
      </c>
    </row>
    <row r="700" spans="23:23" x14ac:dyDescent="0.2">
      <c r="W700" s="35">
        <v>2584231.8230976742</v>
      </c>
    </row>
    <row r="701" spans="23:23" x14ac:dyDescent="0.2">
      <c r="W701" s="35">
        <v>2549872.8822381459</v>
      </c>
    </row>
    <row r="702" spans="23:23" x14ac:dyDescent="0.2">
      <c r="W702" s="35">
        <v>2116292.8321269299</v>
      </c>
    </row>
    <row r="703" spans="23:23" x14ac:dyDescent="0.2">
      <c r="W703" s="35">
        <v>2789198.812035162</v>
      </c>
    </row>
    <row r="704" spans="23:23" x14ac:dyDescent="0.2">
      <c r="W704" s="35">
        <v>1536628.1876011132</v>
      </c>
    </row>
    <row r="705" spans="23:23" x14ac:dyDescent="0.2">
      <c r="W705" s="35">
        <v>3488603.4458683706</v>
      </c>
    </row>
    <row r="706" spans="23:23" x14ac:dyDescent="0.2">
      <c r="W706" s="35">
        <v>2106266.9614709625</v>
      </c>
    </row>
    <row r="707" spans="23:23" x14ac:dyDescent="0.2">
      <c r="W707" s="35">
        <v>1580630.1227676331</v>
      </c>
    </row>
    <row r="708" spans="23:23" x14ac:dyDescent="0.2">
      <c r="W708" s="35">
        <v>1757835.1402702432</v>
      </c>
    </row>
    <row r="709" spans="23:23" x14ac:dyDescent="0.2">
      <c r="W709" s="35">
        <v>2680412.2388176005</v>
      </c>
    </row>
    <row r="710" spans="23:23" x14ac:dyDescent="0.2">
      <c r="W710" s="35">
        <v>2824257.6055420488</v>
      </c>
    </row>
    <row r="711" spans="23:23" x14ac:dyDescent="0.2">
      <c r="W711" s="35">
        <v>2088519.9458199625</v>
      </c>
    </row>
    <row r="712" spans="23:23" x14ac:dyDescent="0.2">
      <c r="W712" s="35">
        <v>1100782.2245069863</v>
      </c>
    </row>
    <row r="713" spans="23:23" x14ac:dyDescent="0.2">
      <c r="W713" s="35">
        <v>2213647.1857275181</v>
      </c>
    </row>
    <row r="714" spans="23:23" x14ac:dyDescent="0.2">
      <c r="W714" s="35">
        <v>2050116.2602261847</v>
      </c>
    </row>
    <row r="715" spans="23:23" x14ac:dyDescent="0.2">
      <c r="W715" s="35">
        <v>2702143.7773245517</v>
      </c>
    </row>
    <row r="716" spans="23:23" x14ac:dyDescent="0.2">
      <c r="W716" s="35">
        <v>1826655.1637308809</v>
      </c>
    </row>
    <row r="717" spans="23:23" x14ac:dyDescent="0.2">
      <c r="W717" s="35">
        <v>684860.76971785445</v>
      </c>
    </row>
    <row r="718" spans="23:23" x14ac:dyDescent="0.2">
      <c r="W718" s="35">
        <v>1568758.7886304462</v>
      </c>
    </row>
    <row r="719" spans="23:23" x14ac:dyDescent="0.2">
      <c r="W719" s="35">
        <v>1791585.5699687174</v>
      </c>
    </row>
    <row r="720" spans="23:23" x14ac:dyDescent="0.2">
      <c r="W720" s="35">
        <v>2744967.1703443034</v>
      </c>
    </row>
    <row r="721" spans="23:23" x14ac:dyDescent="0.2">
      <c r="W721" s="35">
        <v>1671116.3620905336</v>
      </c>
    </row>
    <row r="722" spans="23:23" x14ac:dyDescent="0.2">
      <c r="W722" s="35">
        <v>2130061.0952822771</v>
      </c>
    </row>
    <row r="723" spans="23:23" x14ac:dyDescent="0.2">
      <c r="W723" s="35">
        <v>1417925.6648966542</v>
      </c>
    </row>
    <row r="724" spans="23:23" x14ac:dyDescent="0.2">
      <c r="W724" s="35">
        <v>2709488.6341098025</v>
      </c>
    </row>
    <row r="725" spans="23:23" x14ac:dyDescent="0.2">
      <c r="W725" s="35">
        <v>1440956.3567808233</v>
      </c>
    </row>
    <row r="726" spans="23:23" x14ac:dyDescent="0.2">
      <c r="W726" s="35">
        <v>2092972.1241633249</v>
      </c>
    </row>
    <row r="727" spans="23:23" x14ac:dyDescent="0.2">
      <c r="W727" s="35">
        <v>2108016.2176540643</v>
      </c>
    </row>
    <row r="728" spans="23:23" x14ac:dyDescent="0.2">
      <c r="W728" s="35">
        <v>1428918.7003034845</v>
      </c>
    </row>
    <row r="729" spans="23:23" x14ac:dyDescent="0.2">
      <c r="W729" s="35">
        <v>2673583.9591949331</v>
      </c>
    </row>
    <row r="730" spans="23:23" x14ac:dyDescent="0.2">
      <c r="W730" s="35">
        <v>1868254.8912027103</v>
      </c>
    </row>
    <row r="731" spans="23:23" x14ac:dyDescent="0.2">
      <c r="W731" s="35">
        <v>3183165.0711112157</v>
      </c>
    </row>
    <row r="732" spans="23:23" x14ac:dyDescent="0.2">
      <c r="W732" s="35">
        <v>2057986.3939326152</v>
      </c>
    </row>
    <row r="733" spans="23:23" x14ac:dyDescent="0.2">
      <c r="W733" s="35">
        <v>1904720.1050088604</v>
      </c>
    </row>
    <row r="734" spans="23:23" x14ac:dyDescent="0.2">
      <c r="W734" s="35">
        <v>2806684.9859407302</v>
      </c>
    </row>
    <row r="735" spans="23:23" x14ac:dyDescent="0.2">
      <c r="W735" s="35">
        <v>2388634.4649889274</v>
      </c>
    </row>
    <row r="736" spans="23:23" x14ac:dyDescent="0.2">
      <c r="W736" s="35">
        <v>3963068.8965165173</v>
      </c>
    </row>
    <row r="737" spans="23:23" x14ac:dyDescent="0.2">
      <c r="W737" s="35">
        <v>4708099.0456574066</v>
      </c>
    </row>
    <row r="738" spans="23:23" x14ac:dyDescent="0.2">
      <c r="W738" s="35">
        <v>865707.05347698729</v>
      </c>
    </row>
    <row r="739" spans="23:23" x14ac:dyDescent="0.2">
      <c r="W739" s="35">
        <v>2042360.0840316638</v>
      </c>
    </row>
    <row r="740" spans="23:23" x14ac:dyDescent="0.2">
      <c r="W740" s="35">
        <v>2196221.0599663178</v>
      </c>
    </row>
    <row r="741" spans="23:23" x14ac:dyDescent="0.2">
      <c r="W741" s="35">
        <v>2375407.0604527281</v>
      </c>
    </row>
    <row r="742" spans="23:23" x14ac:dyDescent="0.2">
      <c r="W742" s="35">
        <v>2265965.771486423</v>
      </c>
    </row>
    <row r="743" spans="23:23" x14ac:dyDescent="0.2">
      <c r="W743" s="35">
        <v>1852656.0431341752</v>
      </c>
    </row>
    <row r="744" spans="23:23" x14ac:dyDescent="0.2">
      <c r="W744" s="35">
        <v>1549388.740766057</v>
      </c>
    </row>
    <row r="745" spans="23:23" x14ac:dyDescent="0.2">
      <c r="W745" s="35">
        <v>1842080.7142004338</v>
      </c>
    </row>
    <row r="746" spans="23:23" x14ac:dyDescent="0.2">
      <c r="W746" s="35">
        <v>3030009.8357185801</v>
      </c>
    </row>
    <row r="747" spans="23:23" x14ac:dyDescent="0.2">
      <c r="W747" s="35">
        <v>1713730.0606310107</v>
      </c>
    </row>
    <row r="748" spans="23:23" x14ac:dyDescent="0.2">
      <c r="W748" s="35">
        <v>4345862.5291489996</v>
      </c>
    </row>
    <row r="749" spans="23:23" x14ac:dyDescent="0.2">
      <c r="W749" s="35">
        <v>1290818.1255275961</v>
      </c>
    </row>
    <row r="750" spans="23:23" x14ac:dyDescent="0.2">
      <c r="W750" s="35">
        <v>1913880.400630747</v>
      </c>
    </row>
    <row r="751" spans="23:23" x14ac:dyDescent="0.2">
      <c r="W751" s="35">
        <v>1100950.935036947</v>
      </c>
    </row>
    <row r="752" spans="23:23" x14ac:dyDescent="0.2">
      <c r="W752" s="35">
        <v>1064747.338231079</v>
      </c>
    </row>
    <row r="753" spans="23:23" x14ac:dyDescent="0.2">
      <c r="W753" s="35">
        <v>921857.3533487313</v>
      </c>
    </row>
    <row r="754" spans="23:23" x14ac:dyDescent="0.2">
      <c r="W754" s="35">
        <v>1587742.3371367739</v>
      </c>
    </row>
    <row r="755" spans="23:23" x14ac:dyDescent="0.2">
      <c r="W755" s="35">
        <v>1612517.7714151975</v>
      </c>
    </row>
    <row r="756" spans="23:23" x14ac:dyDescent="0.2">
      <c r="W756" s="35">
        <v>1875011.7789177301</v>
      </c>
    </row>
    <row r="757" spans="23:23" x14ac:dyDescent="0.2">
      <c r="W757" s="35">
        <v>1526206.4484079361</v>
      </c>
    </row>
    <row r="758" spans="23:23" x14ac:dyDescent="0.2">
      <c r="W758" s="35">
        <v>1044716.6441365383</v>
      </c>
    </row>
    <row r="759" spans="23:23" x14ac:dyDescent="0.2">
      <c r="W759" s="35">
        <v>3524827.7908887113</v>
      </c>
    </row>
    <row r="760" spans="23:23" x14ac:dyDescent="0.2">
      <c r="W760" s="35">
        <v>1233181.3281865828</v>
      </c>
    </row>
    <row r="761" spans="23:23" x14ac:dyDescent="0.2">
      <c r="W761" s="35">
        <v>5732450.4647455048</v>
      </c>
    </row>
    <row r="762" spans="23:23" x14ac:dyDescent="0.2">
      <c r="W762" s="35">
        <v>2223652.8057334586</v>
      </c>
    </row>
    <row r="763" spans="23:23" x14ac:dyDescent="0.2">
      <c r="W763" s="35">
        <v>2129740.4614401371</v>
      </c>
    </row>
    <row r="764" spans="23:23" x14ac:dyDescent="0.2">
      <c r="W764" s="35">
        <v>4014041.066415749</v>
      </c>
    </row>
    <row r="765" spans="23:23" x14ac:dyDescent="0.2">
      <c r="W765" s="35">
        <v>2246722.0963591333</v>
      </c>
    </row>
    <row r="766" spans="23:23" x14ac:dyDescent="0.2">
      <c r="W766" s="35">
        <v>981913.57136054186</v>
      </c>
    </row>
    <row r="767" spans="23:23" x14ac:dyDescent="0.2">
      <c r="W767" s="35">
        <v>2209784.4951579636</v>
      </c>
    </row>
    <row r="768" spans="23:23" x14ac:dyDescent="0.2">
      <c r="W768" s="35">
        <v>2538795.9594666474</v>
      </c>
    </row>
    <row r="769" spans="23:23" x14ac:dyDescent="0.2">
      <c r="W769" s="35">
        <v>875906.06514145562</v>
      </c>
    </row>
    <row r="770" spans="23:23" x14ac:dyDescent="0.2">
      <c r="W770" s="35">
        <v>3265526.0729266754</v>
      </c>
    </row>
    <row r="771" spans="23:23" x14ac:dyDescent="0.2">
      <c r="W771" s="35">
        <v>644903.33296966972</v>
      </c>
    </row>
    <row r="772" spans="23:23" x14ac:dyDescent="0.2">
      <c r="W772" s="35">
        <v>1237601.1181302986</v>
      </c>
    </row>
    <row r="773" spans="23:23" x14ac:dyDescent="0.2">
      <c r="W773" s="35">
        <v>2451108.9800954075</v>
      </c>
    </row>
    <row r="774" spans="23:23" x14ac:dyDescent="0.2">
      <c r="W774" s="35">
        <v>1620425.043998129</v>
      </c>
    </row>
    <row r="775" spans="23:23" x14ac:dyDescent="0.2">
      <c r="W775" s="35">
        <v>3654970.6728571584</v>
      </c>
    </row>
    <row r="776" spans="23:23" x14ac:dyDescent="0.2">
      <c r="W776" s="35">
        <v>3959547.3390440298</v>
      </c>
    </row>
    <row r="777" spans="23:23" x14ac:dyDescent="0.2">
      <c r="W777" s="35">
        <v>1071152.0483294441</v>
      </c>
    </row>
    <row r="778" spans="23:23" x14ac:dyDescent="0.2">
      <c r="W778" s="35">
        <v>3465197.9945723019</v>
      </c>
    </row>
    <row r="779" spans="23:23" x14ac:dyDescent="0.2">
      <c r="W779" s="35">
        <v>3858481.4264901509</v>
      </c>
    </row>
    <row r="780" spans="23:23" x14ac:dyDescent="0.2">
      <c r="W780" s="35">
        <v>3533618.6746815331</v>
      </c>
    </row>
    <row r="781" spans="23:23" x14ac:dyDescent="0.2">
      <c r="W781" s="35">
        <v>1821092.7308296217</v>
      </c>
    </row>
    <row r="782" spans="23:23" x14ac:dyDescent="0.2">
      <c r="W782" s="35">
        <v>2192128.5075814715</v>
      </c>
    </row>
    <row r="783" spans="23:23" x14ac:dyDescent="0.2">
      <c r="W783" s="35">
        <v>1320089.8280927057</v>
      </c>
    </row>
    <row r="784" spans="23:23" x14ac:dyDescent="0.2">
      <c r="W784" s="35">
        <v>2072853.3197536638</v>
      </c>
    </row>
    <row r="785" spans="23:23" x14ac:dyDescent="0.2">
      <c r="W785" s="35">
        <v>2524468.2273682402</v>
      </c>
    </row>
    <row r="786" spans="23:23" x14ac:dyDescent="0.2">
      <c r="W786" s="35">
        <v>2043706.6667352463</v>
      </c>
    </row>
    <row r="787" spans="23:23" x14ac:dyDescent="0.2">
      <c r="W787" s="35">
        <v>1528443.702737737</v>
      </c>
    </row>
    <row r="788" spans="23:23" x14ac:dyDescent="0.2">
      <c r="W788" s="35">
        <v>2799108.5121665075</v>
      </c>
    </row>
    <row r="789" spans="23:23" x14ac:dyDescent="0.2">
      <c r="W789" s="35">
        <v>2354351.4301255126</v>
      </c>
    </row>
    <row r="790" spans="23:23" x14ac:dyDescent="0.2">
      <c r="W790" s="35">
        <v>3583181.1420180169</v>
      </c>
    </row>
    <row r="791" spans="23:23" x14ac:dyDescent="0.2">
      <c r="W791" s="35">
        <v>2478218.1655180431</v>
      </c>
    </row>
    <row r="792" spans="23:23" x14ac:dyDescent="0.2">
      <c r="W792" s="35">
        <v>920968.62485557515</v>
      </c>
    </row>
    <row r="793" spans="23:23" x14ac:dyDescent="0.2">
      <c r="W793" s="35">
        <v>2126645.6660334896</v>
      </c>
    </row>
    <row r="794" spans="23:23" x14ac:dyDescent="0.2">
      <c r="W794" s="35">
        <v>1235009.9493176767</v>
      </c>
    </row>
    <row r="795" spans="23:23" x14ac:dyDescent="0.2">
      <c r="W795" s="35">
        <v>1548442.3449457095</v>
      </c>
    </row>
    <row r="796" spans="23:23" x14ac:dyDescent="0.2">
      <c r="W796" s="35">
        <v>2063194.5641501651</v>
      </c>
    </row>
    <row r="797" spans="23:23" x14ac:dyDescent="0.2">
      <c r="W797" s="35">
        <v>2112039.9674898498</v>
      </c>
    </row>
    <row r="798" spans="23:23" x14ac:dyDescent="0.2">
      <c r="W798" s="35">
        <v>1381161.7877326193</v>
      </c>
    </row>
    <row r="799" spans="23:23" x14ac:dyDescent="0.2">
      <c r="W799" s="35">
        <v>1423042.0133715088</v>
      </c>
    </row>
    <row r="800" spans="23:23" x14ac:dyDescent="0.2">
      <c r="W800" s="35">
        <v>2194347.8906627591</v>
      </c>
    </row>
    <row r="801" spans="23:23" x14ac:dyDescent="0.2">
      <c r="W801" s="35">
        <v>4999059.4780961685</v>
      </c>
    </row>
    <row r="802" spans="23:23" x14ac:dyDescent="0.2">
      <c r="W802" s="35">
        <v>1555072.9362487264</v>
      </c>
    </row>
    <row r="803" spans="23:23" x14ac:dyDescent="0.2">
      <c r="W803" s="35">
        <v>4478354.1822215663</v>
      </c>
    </row>
    <row r="804" spans="23:23" x14ac:dyDescent="0.2">
      <c r="W804" s="35">
        <v>2321452.7913333182</v>
      </c>
    </row>
    <row r="805" spans="23:23" x14ac:dyDescent="0.2">
      <c r="W805" s="35">
        <v>1419193.7676760841</v>
      </c>
    </row>
    <row r="806" spans="23:23" x14ac:dyDescent="0.2">
      <c r="W806" s="35">
        <v>2538371.0473071579</v>
      </c>
    </row>
    <row r="807" spans="23:23" x14ac:dyDescent="0.2">
      <c r="W807" s="35">
        <v>2391711.3775499659</v>
      </c>
    </row>
    <row r="808" spans="23:23" x14ac:dyDescent="0.2">
      <c r="W808" s="35">
        <v>1121261.9571178074</v>
      </c>
    </row>
    <row r="809" spans="23:23" x14ac:dyDescent="0.2">
      <c r="W809" s="35">
        <v>1993959.7957674963</v>
      </c>
    </row>
    <row r="810" spans="23:23" x14ac:dyDescent="0.2">
      <c r="W810" s="35">
        <v>6613209.1855251091</v>
      </c>
    </row>
    <row r="811" spans="23:23" x14ac:dyDescent="0.2">
      <c r="W811" s="35">
        <v>2301495.138017253</v>
      </c>
    </row>
    <row r="812" spans="23:23" x14ac:dyDescent="0.2">
      <c r="W812" s="35">
        <v>2722567.9794364022</v>
      </c>
    </row>
    <row r="813" spans="23:23" x14ac:dyDescent="0.2">
      <c r="W813" s="35">
        <v>1274876.9442831047</v>
      </c>
    </row>
    <row r="814" spans="23:23" x14ac:dyDescent="0.2">
      <c r="W814" s="35">
        <v>1862594.9311660654</v>
      </c>
    </row>
    <row r="815" spans="23:23" x14ac:dyDescent="0.2">
      <c r="W815" s="35">
        <v>1581572.6777423806</v>
      </c>
    </row>
    <row r="816" spans="23:23" x14ac:dyDescent="0.2">
      <c r="W816" s="35">
        <v>1110494.0447617285</v>
      </c>
    </row>
    <row r="817" spans="23:23" x14ac:dyDescent="0.2">
      <c r="W817" s="35">
        <v>1297119.9583882079</v>
      </c>
    </row>
    <row r="818" spans="23:23" x14ac:dyDescent="0.2">
      <c r="W818" s="35">
        <v>1938222.9294005714</v>
      </c>
    </row>
    <row r="819" spans="23:23" x14ac:dyDescent="0.2">
      <c r="W819" s="35">
        <v>1498024.9601536663</v>
      </c>
    </row>
    <row r="820" spans="23:23" x14ac:dyDescent="0.2">
      <c r="W820" s="35">
        <v>1533417.200050487</v>
      </c>
    </row>
    <row r="821" spans="23:23" x14ac:dyDescent="0.2">
      <c r="W821" s="35">
        <v>2650638.7212875648</v>
      </c>
    </row>
    <row r="822" spans="23:23" x14ac:dyDescent="0.2">
      <c r="W822" s="35">
        <v>2875878.3020603578</v>
      </c>
    </row>
    <row r="823" spans="23:23" x14ac:dyDescent="0.2">
      <c r="W823" s="35">
        <v>2092052.6779697228</v>
      </c>
    </row>
    <row r="824" spans="23:23" x14ac:dyDescent="0.2">
      <c r="W824" s="35">
        <v>4680138.2553104619</v>
      </c>
    </row>
    <row r="825" spans="23:23" x14ac:dyDescent="0.2">
      <c r="W825" s="35">
        <v>1547640.2886892394</v>
      </c>
    </row>
    <row r="826" spans="23:23" x14ac:dyDescent="0.2">
      <c r="W826" s="35">
        <v>1775104.1481732423</v>
      </c>
    </row>
    <row r="827" spans="23:23" x14ac:dyDescent="0.2">
      <c r="W827" s="35">
        <v>1379984.6640602341</v>
      </c>
    </row>
    <row r="828" spans="23:23" x14ac:dyDescent="0.2">
      <c r="W828" s="35">
        <v>2833471.3721207697</v>
      </c>
    </row>
    <row r="829" spans="23:23" x14ac:dyDescent="0.2">
      <c r="W829" s="35">
        <v>2531849.4672054634</v>
      </c>
    </row>
    <row r="830" spans="23:23" x14ac:dyDescent="0.2">
      <c r="W830" s="35">
        <v>4545454.711060307</v>
      </c>
    </row>
    <row r="831" spans="23:23" x14ac:dyDescent="0.2">
      <c r="W831" s="35">
        <v>1441446.6427584949</v>
      </c>
    </row>
    <row r="832" spans="23:23" x14ac:dyDescent="0.2">
      <c r="W832" s="35">
        <v>2276092.9416531213</v>
      </c>
    </row>
    <row r="833" spans="23:23" x14ac:dyDescent="0.2">
      <c r="W833" s="35">
        <v>2628438.1024969299</v>
      </c>
    </row>
    <row r="834" spans="23:23" x14ac:dyDescent="0.2">
      <c r="W834" s="35">
        <v>2231522.9357749</v>
      </c>
    </row>
    <row r="835" spans="23:23" x14ac:dyDescent="0.2">
      <c r="W835" s="35">
        <v>2080945.035302466</v>
      </c>
    </row>
    <row r="836" spans="23:23" x14ac:dyDescent="0.2">
      <c r="W836" s="35">
        <v>2108143.296606069</v>
      </c>
    </row>
    <row r="837" spans="23:23" x14ac:dyDescent="0.2">
      <c r="W837" s="35">
        <v>2580260.9153219303</v>
      </c>
    </row>
    <row r="838" spans="23:23" x14ac:dyDescent="0.2">
      <c r="W838" s="35">
        <v>2074930.3432265699</v>
      </c>
    </row>
    <row r="839" spans="23:23" x14ac:dyDescent="0.2">
      <c r="W839" s="35">
        <v>1561819.0587877312</v>
      </c>
    </row>
    <row r="840" spans="23:23" x14ac:dyDescent="0.2">
      <c r="W840" s="35">
        <v>2950736.4042901415</v>
      </c>
    </row>
    <row r="841" spans="23:23" x14ac:dyDescent="0.2">
      <c r="W841" s="35">
        <v>2092946.8018877201</v>
      </c>
    </row>
    <row r="842" spans="23:23" x14ac:dyDescent="0.2">
      <c r="W842" s="35">
        <v>1907428.5614615974</v>
      </c>
    </row>
    <row r="843" spans="23:23" x14ac:dyDescent="0.2">
      <c r="W843" s="35">
        <v>2175460.9977603238</v>
      </c>
    </row>
    <row r="844" spans="23:23" x14ac:dyDescent="0.2">
      <c r="W844" s="35">
        <v>894856.30184124853</v>
      </c>
    </row>
    <row r="845" spans="23:23" x14ac:dyDescent="0.2">
      <c r="W845" s="35">
        <v>3025221.0150267994</v>
      </c>
    </row>
    <row r="846" spans="23:23" x14ac:dyDescent="0.2">
      <c r="W846" s="35">
        <v>2962437.4349212619</v>
      </c>
    </row>
    <row r="847" spans="23:23" x14ac:dyDescent="0.2">
      <c r="W847" s="35">
        <v>1137659.0252107065</v>
      </c>
    </row>
    <row r="848" spans="23:23" x14ac:dyDescent="0.2">
      <c r="W848" s="35">
        <v>3165717.0119608454</v>
      </c>
    </row>
    <row r="849" spans="23:23" x14ac:dyDescent="0.2">
      <c r="W849" s="35">
        <v>1773323.4228279234</v>
      </c>
    </row>
    <row r="850" spans="23:23" x14ac:dyDescent="0.2">
      <c r="W850" s="35">
        <v>1885718.1847252999</v>
      </c>
    </row>
    <row r="851" spans="23:23" x14ac:dyDescent="0.2">
      <c r="W851" s="35">
        <v>1851610.9219971362</v>
      </c>
    </row>
    <row r="852" spans="23:23" x14ac:dyDescent="0.2">
      <c r="W852" s="35">
        <v>1980648.31260236</v>
      </c>
    </row>
    <row r="853" spans="23:23" x14ac:dyDescent="0.2">
      <c r="W853" s="35">
        <v>4280619.3226507651</v>
      </c>
    </row>
    <row r="854" spans="23:23" x14ac:dyDescent="0.2">
      <c r="W854" s="35">
        <v>2035614.2612728595</v>
      </c>
    </row>
    <row r="855" spans="23:23" x14ac:dyDescent="0.2">
      <c r="W855" s="35">
        <v>1170717.8659386358</v>
      </c>
    </row>
    <row r="856" spans="23:23" x14ac:dyDescent="0.2">
      <c r="W856" s="35">
        <v>4233472.5792224584</v>
      </c>
    </row>
    <row r="857" spans="23:23" x14ac:dyDescent="0.2">
      <c r="W857" s="35">
        <v>1137079.5782205821</v>
      </c>
    </row>
    <row r="858" spans="23:23" x14ac:dyDescent="0.2">
      <c r="W858" s="35">
        <v>2266803.089064315</v>
      </c>
    </row>
    <row r="859" spans="23:23" x14ac:dyDescent="0.2">
      <c r="W859" s="35">
        <v>1955608.7822976622</v>
      </c>
    </row>
    <row r="860" spans="23:23" x14ac:dyDescent="0.2">
      <c r="W860" s="35">
        <v>1472943.3387244053</v>
      </c>
    </row>
    <row r="861" spans="23:23" x14ac:dyDescent="0.2">
      <c r="W861" s="35">
        <v>1928892.7069370335</v>
      </c>
    </row>
    <row r="862" spans="23:23" x14ac:dyDescent="0.2">
      <c r="W862" s="35">
        <v>1253750.9537757679</v>
      </c>
    </row>
    <row r="863" spans="23:23" x14ac:dyDescent="0.2">
      <c r="W863" s="35">
        <v>1506638.6952632072</v>
      </c>
    </row>
    <row r="864" spans="23:23" x14ac:dyDescent="0.2">
      <c r="W864" s="35">
        <v>3042011.6277391682</v>
      </c>
    </row>
    <row r="865" spans="23:23" x14ac:dyDescent="0.2">
      <c r="W865" s="35">
        <v>1259226.0655744637</v>
      </c>
    </row>
    <row r="866" spans="23:23" x14ac:dyDescent="0.2">
      <c r="W866" s="35">
        <v>950089.49492949562</v>
      </c>
    </row>
    <row r="867" spans="23:23" x14ac:dyDescent="0.2">
      <c r="W867" s="35">
        <v>3162809.7568360516</v>
      </c>
    </row>
    <row r="868" spans="23:23" x14ac:dyDescent="0.2">
      <c r="W868" s="35">
        <v>1851993.7818747426</v>
      </c>
    </row>
    <row r="869" spans="23:23" x14ac:dyDescent="0.2">
      <c r="W869" s="35">
        <v>2101201.0815900806</v>
      </c>
    </row>
    <row r="870" spans="23:23" x14ac:dyDescent="0.2">
      <c r="W870" s="35">
        <v>2218813.7538045058</v>
      </c>
    </row>
    <row r="871" spans="23:23" x14ac:dyDescent="0.2">
      <c r="W871" s="35">
        <v>1989697.7881814307</v>
      </c>
    </row>
    <row r="872" spans="23:23" x14ac:dyDescent="0.2">
      <c r="W872" s="35">
        <v>1010365.7112895478</v>
      </c>
    </row>
    <row r="873" spans="23:23" x14ac:dyDescent="0.2">
      <c r="W873" s="35">
        <v>1176822.2988225247</v>
      </c>
    </row>
    <row r="874" spans="23:23" x14ac:dyDescent="0.2">
      <c r="W874" s="35">
        <v>2025069.0891206996</v>
      </c>
    </row>
    <row r="875" spans="23:23" x14ac:dyDescent="0.2">
      <c r="W875" s="35">
        <v>3985608.7314683525</v>
      </c>
    </row>
    <row r="876" spans="23:23" x14ac:dyDescent="0.2">
      <c r="W876" s="35">
        <v>1629524.9566059434</v>
      </c>
    </row>
    <row r="877" spans="23:23" x14ac:dyDescent="0.2">
      <c r="W877" s="35">
        <v>2911312.3357776776</v>
      </c>
    </row>
    <row r="878" spans="23:23" x14ac:dyDescent="0.2">
      <c r="W878" s="35">
        <v>1975844.1457846286</v>
      </c>
    </row>
    <row r="879" spans="23:23" x14ac:dyDescent="0.2">
      <c r="W879" s="35">
        <v>1526934.7567719151</v>
      </c>
    </row>
    <row r="880" spans="23:23" x14ac:dyDescent="0.2">
      <c r="W880" s="35">
        <v>2893516.3024899554</v>
      </c>
    </row>
    <row r="881" spans="23:23" x14ac:dyDescent="0.2">
      <c r="W881" s="35">
        <v>1496124.5086900813</v>
      </c>
    </row>
    <row r="882" spans="23:23" x14ac:dyDescent="0.2">
      <c r="W882" s="35">
        <v>2621739.3235171372</v>
      </c>
    </row>
    <row r="883" spans="23:23" x14ac:dyDescent="0.2">
      <c r="W883" s="35">
        <v>3847655.4759643758</v>
      </c>
    </row>
    <row r="884" spans="23:23" x14ac:dyDescent="0.2">
      <c r="W884" s="35">
        <v>3830897.9369158573</v>
      </c>
    </row>
    <row r="885" spans="23:23" x14ac:dyDescent="0.2">
      <c r="W885" s="35">
        <v>2673414.2644449794</v>
      </c>
    </row>
    <row r="886" spans="23:23" x14ac:dyDescent="0.2">
      <c r="W886" s="35">
        <v>3191839.4884265773</v>
      </c>
    </row>
    <row r="887" spans="23:23" x14ac:dyDescent="0.2">
      <c r="W887" s="35">
        <v>1101892.7757780619</v>
      </c>
    </row>
    <row r="888" spans="23:23" x14ac:dyDescent="0.2">
      <c r="W888" s="35">
        <v>709801.55597970507</v>
      </c>
    </row>
    <row r="889" spans="23:23" x14ac:dyDescent="0.2">
      <c r="W889" s="35">
        <v>3921957.9035479487</v>
      </c>
    </row>
    <row r="890" spans="23:23" x14ac:dyDescent="0.2">
      <c r="W890" s="35">
        <v>985055.65645986632</v>
      </c>
    </row>
    <row r="891" spans="23:23" x14ac:dyDescent="0.2">
      <c r="W891" s="35">
        <v>1468375.5218493675</v>
      </c>
    </row>
    <row r="892" spans="23:23" x14ac:dyDescent="0.2">
      <c r="W892" s="35">
        <v>1923575.5281179261</v>
      </c>
    </row>
    <row r="893" spans="23:23" x14ac:dyDescent="0.2">
      <c r="W893" s="35">
        <v>1475991.1443646452</v>
      </c>
    </row>
    <row r="894" spans="23:23" x14ac:dyDescent="0.2">
      <c r="W894" s="35">
        <v>2063528.0536888486</v>
      </c>
    </row>
    <row r="895" spans="23:23" x14ac:dyDescent="0.2">
      <c r="W895" s="35">
        <v>4459173.9598818822</v>
      </c>
    </row>
    <row r="896" spans="23:23" x14ac:dyDescent="0.2">
      <c r="W896" s="35">
        <v>1492360.9542054443</v>
      </c>
    </row>
    <row r="897" spans="23:23" x14ac:dyDescent="0.2">
      <c r="W897" s="35">
        <v>1338245.6460588013</v>
      </c>
    </row>
    <row r="898" spans="23:23" x14ac:dyDescent="0.2">
      <c r="W898" s="35">
        <v>4447873.2349872133</v>
      </c>
    </row>
    <row r="899" spans="23:23" x14ac:dyDescent="0.2">
      <c r="W899" s="35">
        <v>1037034.3208006931</v>
      </c>
    </row>
    <row r="900" spans="23:23" x14ac:dyDescent="0.2">
      <c r="W900" s="35">
        <v>2995083.8504548287</v>
      </c>
    </row>
    <row r="901" spans="23:23" x14ac:dyDescent="0.2">
      <c r="W901" s="35">
        <v>1140206.3935471377</v>
      </c>
    </row>
    <row r="902" spans="23:23" x14ac:dyDescent="0.2">
      <c r="W902" s="35">
        <v>2408762.8220815999</v>
      </c>
    </row>
    <row r="903" spans="23:23" x14ac:dyDescent="0.2">
      <c r="W903" s="35">
        <v>3591043.7075919658</v>
      </c>
    </row>
    <row r="904" spans="23:23" x14ac:dyDescent="0.2">
      <c r="W904" s="35">
        <v>3927441.0076053306</v>
      </c>
    </row>
    <row r="905" spans="23:23" x14ac:dyDescent="0.2">
      <c r="W905" s="35">
        <v>1289832.6521038583</v>
      </c>
    </row>
    <row r="906" spans="23:23" x14ac:dyDescent="0.2">
      <c r="W906" s="35">
        <v>1896785.7277940917</v>
      </c>
    </row>
    <row r="907" spans="23:23" x14ac:dyDescent="0.2">
      <c r="W907" s="35">
        <v>3523585.172970396</v>
      </c>
    </row>
    <row r="908" spans="23:23" x14ac:dyDescent="0.2">
      <c r="W908" s="35">
        <v>1119614.9777136631</v>
      </c>
    </row>
    <row r="909" spans="23:23" x14ac:dyDescent="0.2">
      <c r="W909" s="35">
        <v>2002579.4358170105</v>
      </c>
    </row>
    <row r="910" spans="23:23" x14ac:dyDescent="0.2">
      <c r="W910" s="35">
        <v>1457873.5227174042</v>
      </c>
    </row>
    <row r="911" spans="23:23" x14ac:dyDescent="0.2">
      <c r="W911" s="35">
        <v>1881755.2585228456</v>
      </c>
    </row>
    <row r="912" spans="23:23" x14ac:dyDescent="0.2">
      <c r="W912" s="35">
        <v>4428948.9375021057</v>
      </c>
    </row>
    <row r="913" spans="23:23" x14ac:dyDescent="0.2">
      <c r="W913" s="35">
        <v>2487384.4880720051</v>
      </c>
    </row>
    <row r="914" spans="23:23" x14ac:dyDescent="0.2">
      <c r="W914" s="35">
        <v>2224634.2616689391</v>
      </c>
    </row>
    <row r="915" spans="23:23" x14ac:dyDescent="0.2">
      <c r="W915" s="35">
        <v>3849718.5289990585</v>
      </c>
    </row>
    <row r="916" spans="23:23" x14ac:dyDescent="0.2">
      <c r="W916" s="35">
        <v>1229204.5155851811</v>
      </c>
    </row>
    <row r="917" spans="23:23" x14ac:dyDescent="0.2">
      <c r="W917" s="35">
        <v>1926897.1655709951</v>
      </c>
    </row>
    <row r="918" spans="23:23" x14ac:dyDescent="0.2">
      <c r="W918" s="35">
        <v>2242503.8364010677</v>
      </c>
    </row>
    <row r="919" spans="23:23" x14ac:dyDescent="0.2">
      <c r="W919" s="35">
        <v>1168431.2424471565</v>
      </c>
    </row>
    <row r="920" spans="23:23" x14ac:dyDescent="0.2">
      <c r="W920" s="35">
        <v>1368207.99316336</v>
      </c>
    </row>
    <row r="921" spans="23:23" x14ac:dyDescent="0.2">
      <c r="W921" s="35">
        <v>2463059.230908521</v>
      </c>
    </row>
    <row r="922" spans="23:23" x14ac:dyDescent="0.2">
      <c r="W922" s="35">
        <v>954737.83910872613</v>
      </c>
    </row>
    <row r="923" spans="23:23" x14ac:dyDescent="0.2">
      <c r="W923" s="35">
        <v>2467118.8630347429</v>
      </c>
    </row>
    <row r="924" spans="23:23" x14ac:dyDescent="0.2">
      <c r="W924" s="35">
        <v>4032355.4122517579</v>
      </c>
    </row>
    <row r="925" spans="23:23" x14ac:dyDescent="0.2">
      <c r="W925" s="35">
        <v>1927053.5224784629</v>
      </c>
    </row>
    <row r="926" spans="23:23" x14ac:dyDescent="0.2">
      <c r="W926" s="35">
        <v>3259430.680936228</v>
      </c>
    </row>
    <row r="927" spans="23:23" x14ac:dyDescent="0.2">
      <c r="W927" s="35">
        <v>407143.56504859444</v>
      </c>
    </row>
    <row r="928" spans="23:23" x14ac:dyDescent="0.2">
      <c r="W928" s="35">
        <v>3892551.3729538019</v>
      </c>
    </row>
    <row r="929" spans="23:23" x14ac:dyDescent="0.2">
      <c r="W929" s="35">
        <v>2641015.625466946</v>
      </c>
    </row>
    <row r="930" spans="23:23" x14ac:dyDescent="0.2">
      <c r="W930" s="35">
        <v>2279920.6529988251</v>
      </c>
    </row>
    <row r="931" spans="23:23" x14ac:dyDescent="0.2">
      <c r="W931" s="35">
        <v>1764549.9681964912</v>
      </c>
    </row>
    <row r="932" spans="23:23" x14ac:dyDescent="0.2">
      <c r="W932" s="35">
        <v>1444535.5640324762</v>
      </c>
    </row>
    <row r="933" spans="23:23" x14ac:dyDescent="0.2">
      <c r="W933" s="35">
        <v>3114915.2758569708</v>
      </c>
    </row>
    <row r="934" spans="23:23" x14ac:dyDescent="0.2">
      <c r="W934" s="35">
        <v>2053040.4181739788</v>
      </c>
    </row>
    <row r="935" spans="23:23" x14ac:dyDescent="0.2">
      <c r="W935" s="35">
        <v>1362620.3083308097</v>
      </c>
    </row>
    <row r="936" spans="23:23" x14ac:dyDescent="0.2">
      <c r="W936" s="35">
        <v>1870872.212312357</v>
      </c>
    </row>
    <row r="937" spans="23:23" x14ac:dyDescent="0.2">
      <c r="W937" s="35">
        <v>2180513.5645005088</v>
      </c>
    </row>
    <row r="938" spans="23:23" x14ac:dyDescent="0.2">
      <c r="W938" s="35">
        <v>2158317.2273892229</v>
      </c>
    </row>
    <row r="939" spans="23:23" x14ac:dyDescent="0.2">
      <c r="W939" s="35">
        <v>2234466.0300424402</v>
      </c>
    </row>
    <row r="940" spans="23:23" x14ac:dyDescent="0.2">
      <c r="W940" s="35">
        <v>3799301.5751422774</v>
      </c>
    </row>
    <row r="941" spans="23:23" x14ac:dyDescent="0.2">
      <c r="W941" s="35">
        <v>1633563.541329053</v>
      </c>
    </row>
    <row r="942" spans="23:23" x14ac:dyDescent="0.2">
      <c r="W942" s="35">
        <v>3245227.3112304234</v>
      </c>
    </row>
    <row r="943" spans="23:23" x14ac:dyDescent="0.2">
      <c r="W943" s="35">
        <v>1523920.020758068</v>
      </c>
    </row>
    <row r="944" spans="23:23" x14ac:dyDescent="0.2">
      <c r="W944" s="35">
        <v>1815817.4597613884</v>
      </c>
    </row>
    <row r="945" spans="23:23" x14ac:dyDescent="0.2">
      <c r="W945" s="35">
        <v>2169403.0050472799</v>
      </c>
    </row>
    <row r="946" spans="23:23" x14ac:dyDescent="0.2">
      <c r="W946" s="35">
        <v>1625393.5826785096</v>
      </c>
    </row>
    <row r="947" spans="23:23" x14ac:dyDescent="0.2">
      <c r="W947" s="35">
        <v>2213986.2737199566</v>
      </c>
    </row>
    <row r="948" spans="23:23" x14ac:dyDescent="0.2">
      <c r="W948" s="35">
        <v>2404920.0341158304</v>
      </c>
    </row>
    <row r="949" spans="23:23" x14ac:dyDescent="0.2">
      <c r="W949" s="35">
        <v>2109936.0365318414</v>
      </c>
    </row>
    <row r="950" spans="23:23" x14ac:dyDescent="0.2">
      <c r="W950" s="35">
        <v>2061183.3993177058</v>
      </c>
    </row>
    <row r="951" spans="23:23" x14ac:dyDescent="0.2">
      <c r="W951" s="35">
        <v>3153664.3015082683</v>
      </c>
    </row>
    <row r="952" spans="23:23" x14ac:dyDescent="0.2">
      <c r="W952" s="35">
        <v>2068304.2449696858</v>
      </c>
    </row>
    <row r="953" spans="23:23" x14ac:dyDescent="0.2">
      <c r="W953" s="35">
        <v>1414739.0938180846</v>
      </c>
    </row>
    <row r="954" spans="23:23" x14ac:dyDescent="0.2">
      <c r="W954" s="35">
        <v>3268644.692389376</v>
      </c>
    </row>
    <row r="955" spans="23:23" x14ac:dyDescent="0.2">
      <c r="W955" s="35">
        <v>3701591.6598291951</v>
      </c>
    </row>
    <row r="956" spans="23:23" x14ac:dyDescent="0.2">
      <c r="W956" s="35">
        <v>1456580.8958987163</v>
      </c>
    </row>
    <row r="957" spans="23:23" x14ac:dyDescent="0.2">
      <c r="W957" s="35">
        <v>2027835.3979463293</v>
      </c>
    </row>
    <row r="958" spans="23:23" x14ac:dyDescent="0.2">
      <c r="W958" s="35">
        <v>4176230.1421899046</v>
      </c>
    </row>
    <row r="959" spans="23:23" x14ac:dyDescent="0.2">
      <c r="W959" s="35">
        <v>890217.50452136202</v>
      </c>
    </row>
    <row r="960" spans="23:23" x14ac:dyDescent="0.2">
      <c r="W960" s="35">
        <v>3486910.7326789317</v>
      </c>
    </row>
    <row r="961" spans="23:23" x14ac:dyDescent="0.2">
      <c r="W961" s="35">
        <v>2491925.0057468945</v>
      </c>
    </row>
    <row r="962" spans="23:23" x14ac:dyDescent="0.2">
      <c r="W962" s="35">
        <v>1487506.0269014223</v>
      </c>
    </row>
    <row r="963" spans="23:23" x14ac:dyDescent="0.2">
      <c r="W963" s="35">
        <v>3717267.8307529222</v>
      </c>
    </row>
    <row r="964" spans="23:23" x14ac:dyDescent="0.2">
      <c r="W964" s="35">
        <v>1408435.7101194751</v>
      </c>
    </row>
    <row r="965" spans="23:23" x14ac:dyDescent="0.2">
      <c r="W965" s="35">
        <v>1173497.6555885628</v>
      </c>
    </row>
    <row r="966" spans="23:23" x14ac:dyDescent="0.2">
      <c r="W966" s="35">
        <v>4118317.937592675</v>
      </c>
    </row>
    <row r="967" spans="23:23" x14ac:dyDescent="0.2">
      <c r="W967" s="35">
        <v>642069.17603776965</v>
      </c>
    </row>
    <row r="968" spans="23:23" x14ac:dyDescent="0.2">
      <c r="W968" s="35">
        <v>2239942.5147459698</v>
      </c>
    </row>
    <row r="969" spans="23:23" x14ac:dyDescent="0.2">
      <c r="W969" s="35">
        <v>1454475.5344046734</v>
      </c>
    </row>
    <row r="970" spans="23:23" x14ac:dyDescent="0.2">
      <c r="W970" s="35">
        <v>1185788.6150380392</v>
      </c>
    </row>
    <row r="971" spans="23:23" x14ac:dyDescent="0.2">
      <c r="W971" s="35">
        <v>1312220.1050405281</v>
      </c>
    </row>
    <row r="972" spans="23:23" x14ac:dyDescent="0.2">
      <c r="W972" s="35">
        <v>1633974.1142932647</v>
      </c>
    </row>
    <row r="973" spans="23:23" x14ac:dyDescent="0.2">
      <c r="W973" s="35">
        <v>2503528.4564489755</v>
      </c>
    </row>
    <row r="974" spans="23:23" x14ac:dyDescent="0.2">
      <c r="W974" s="35">
        <v>1175536.2355202965</v>
      </c>
    </row>
    <row r="975" spans="23:23" x14ac:dyDescent="0.2">
      <c r="W975" s="35">
        <v>1837716.8426866157</v>
      </c>
    </row>
    <row r="976" spans="23:23" x14ac:dyDescent="0.2">
      <c r="W976" s="35">
        <v>1231770.3890519079</v>
      </c>
    </row>
    <row r="977" spans="23:23" x14ac:dyDescent="0.2">
      <c r="W977" s="35">
        <v>3010407.404792815</v>
      </c>
    </row>
    <row r="978" spans="23:23" x14ac:dyDescent="0.2">
      <c r="W978" s="35">
        <v>1364118.4356352137</v>
      </c>
    </row>
    <row r="979" spans="23:23" x14ac:dyDescent="0.2">
      <c r="W979" s="35">
        <v>861963.65279733401</v>
      </c>
    </row>
    <row r="980" spans="23:23" x14ac:dyDescent="0.2">
      <c r="W980" s="35">
        <v>5191751.8885244764</v>
      </c>
    </row>
    <row r="981" spans="23:23" x14ac:dyDescent="0.2">
      <c r="W981" s="35">
        <v>1759318.8240709517</v>
      </c>
    </row>
    <row r="982" spans="23:23" x14ac:dyDescent="0.2">
      <c r="W982" s="35">
        <v>1817891.6591893609</v>
      </c>
    </row>
    <row r="983" spans="23:23" x14ac:dyDescent="0.2">
      <c r="W983" s="35">
        <v>3774765.0616702079</v>
      </c>
    </row>
    <row r="984" spans="23:23" x14ac:dyDescent="0.2">
      <c r="W984" s="35">
        <v>725297.86743549618</v>
      </c>
    </row>
    <row r="985" spans="23:23" x14ac:dyDescent="0.2">
      <c r="W985" s="35">
        <v>1985021.0021733674</v>
      </c>
    </row>
    <row r="986" spans="23:23" x14ac:dyDescent="0.2">
      <c r="W986" s="35">
        <v>2765532.5880615641</v>
      </c>
    </row>
    <row r="987" spans="23:23" x14ac:dyDescent="0.2">
      <c r="W987" s="35">
        <v>1204112.2296821736</v>
      </c>
    </row>
    <row r="988" spans="23:23" x14ac:dyDescent="0.2">
      <c r="W988" s="35">
        <v>3308587.5292787915</v>
      </c>
    </row>
    <row r="989" spans="23:23" x14ac:dyDescent="0.2">
      <c r="W989" s="35">
        <v>2881527.4801839385</v>
      </c>
    </row>
    <row r="990" spans="23:23" x14ac:dyDescent="0.2">
      <c r="W990" s="35">
        <v>2217001.0225724522</v>
      </c>
    </row>
    <row r="991" spans="23:23" x14ac:dyDescent="0.2">
      <c r="W991" s="35">
        <v>2632448.9192429949</v>
      </c>
    </row>
    <row r="992" spans="23:23" x14ac:dyDescent="0.2">
      <c r="W992" s="35">
        <v>1278962.0850468795</v>
      </c>
    </row>
    <row r="993" spans="23:23" x14ac:dyDescent="0.2">
      <c r="W993" s="35">
        <v>4207350.997572707</v>
      </c>
    </row>
    <row r="994" spans="23:23" x14ac:dyDescent="0.2">
      <c r="W994" s="35">
        <v>1338981.8494315003</v>
      </c>
    </row>
    <row r="995" spans="23:23" x14ac:dyDescent="0.2">
      <c r="W995" s="35">
        <v>3128393.3934108503</v>
      </c>
    </row>
    <row r="996" spans="23:23" x14ac:dyDescent="0.2">
      <c r="W996" s="35">
        <v>1578269.7071259401</v>
      </c>
    </row>
    <row r="997" spans="23:23" x14ac:dyDescent="0.2">
      <c r="W997" s="35">
        <v>1738098.0684347979</v>
      </c>
    </row>
    <row r="998" spans="23:23" x14ac:dyDescent="0.2">
      <c r="W998" s="35">
        <v>2694837.127247252</v>
      </c>
    </row>
    <row r="999" spans="23:23" x14ac:dyDescent="0.2">
      <c r="W999" s="35">
        <v>730435.43872190837</v>
      </c>
    </row>
    <row r="1000" spans="23:23" x14ac:dyDescent="0.2">
      <c r="W1000" s="35">
        <v>1889320.1419504113</v>
      </c>
    </row>
    <row r="1001" spans="23:23" x14ac:dyDescent="0.2">
      <c r="W1001" s="35">
        <v>1037163.5524386908</v>
      </c>
    </row>
    <row r="1002" spans="23:23" x14ac:dyDescent="0.2">
      <c r="W1002" s="35">
        <v>1852194.2524234436</v>
      </c>
    </row>
    <row r="1003" spans="23:23" x14ac:dyDescent="0.2">
      <c r="W1003" s="35">
        <v>2977243.0039637713</v>
      </c>
    </row>
    <row r="1004" spans="23:23" x14ac:dyDescent="0.2">
      <c r="W1004" s="35">
        <v>3029180.62620614</v>
      </c>
    </row>
  </sheetData>
  <pageMargins left="0.75" right="0.75" top="1" bottom="1" header="0.5" footer="0.5"/>
  <pageSetup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48"/>
  <sheetViews>
    <sheetView showGridLines="0" workbookViewId="0"/>
  </sheetViews>
  <sheetFormatPr baseColWidth="10" defaultColWidth="8.83203125" defaultRowHeight="15" x14ac:dyDescent="0.2"/>
  <cols>
    <col min="1" max="1" width="44" customWidth="1"/>
    <col min="2" max="2" width="14" customWidth="1"/>
    <col min="3" max="3" width="16" customWidth="1"/>
    <col min="4" max="5" width="14" customWidth="1"/>
    <col min="6" max="6" width="18" customWidth="1"/>
  </cols>
  <sheetData>
    <row r="1" spans="1:4" ht="19" x14ac:dyDescent="0.25">
      <c r="A1" s="1" t="s">
        <v>0</v>
      </c>
    </row>
    <row r="2" spans="1:4" x14ac:dyDescent="0.2">
      <c r="A2" s="2" t="str">
        <f>"3 US stocks + 1 US Treasury + a put on the S&amp;P 500. Target "&amp;TEXT(Inputs!B20,"0%")&amp;" a year, USD "&amp;TEXT(Inputs!B16,"#,##0")&amp;", weekly data 2016–26."</f>
        <v>3 US stocks + 1 US Treasury + a put on the S&amp;P 500. Target 8% a year, USD 1,000,000, weekly data 2016–26.</v>
      </c>
    </row>
    <row r="4" spans="1:4" ht="16" x14ac:dyDescent="0.2">
      <c r="A4" s="3" t="s">
        <v>1</v>
      </c>
    </row>
    <row r="5" spans="1:4" x14ac:dyDescent="0.2">
      <c r="A5" s="7" t="s">
        <v>2</v>
      </c>
      <c r="B5" s="46">
        <f>Risk!B41</f>
        <v>8.0515978518822806E-2</v>
      </c>
    </row>
    <row r="6" spans="1:4" x14ac:dyDescent="0.2">
      <c r="A6" s="7" t="s">
        <v>3</v>
      </c>
      <c r="B6" s="47">
        <f>Portfolio!D11</f>
        <v>0.14286148184667999</v>
      </c>
    </row>
    <row r="7" spans="1:4" x14ac:dyDescent="0.2">
      <c r="A7" s="7" t="s">
        <v>4</v>
      </c>
      <c r="B7" s="48">
        <f>Portfolio!G11</f>
        <v>0.22175734058716987</v>
      </c>
    </row>
    <row r="8" spans="1:4" x14ac:dyDescent="0.2">
      <c r="A8" s="7" t="s">
        <v>5</v>
      </c>
      <c r="B8" s="47">
        <f>Portfolio!H11</f>
        <v>-0.25245467095483054</v>
      </c>
    </row>
    <row r="9" spans="1:4" x14ac:dyDescent="0.2">
      <c r="A9" s="7" t="s">
        <v>6</v>
      </c>
      <c r="B9" s="48">
        <f>Portfolio!E11</f>
        <v>0.63361164573324014</v>
      </c>
    </row>
    <row r="10" spans="1:4" x14ac:dyDescent="0.2">
      <c r="A10" s="7" t="s">
        <v>7</v>
      </c>
      <c r="B10" s="47">
        <f>Risk!B43</f>
        <v>0.1284372147524086</v>
      </c>
    </row>
    <row r="12" spans="1:4" ht="16" x14ac:dyDescent="0.2">
      <c r="A12" s="3" t="s">
        <v>8</v>
      </c>
    </row>
    <row r="13" spans="1:4" ht="16" x14ac:dyDescent="0.2">
      <c r="A13" s="4" t="s">
        <v>9</v>
      </c>
      <c r="B13" s="5" t="s">
        <v>10</v>
      </c>
      <c r="C13" s="5" t="s">
        <v>11</v>
      </c>
      <c r="D13" s="5" t="s">
        <v>12</v>
      </c>
    </row>
    <row r="14" spans="1:4" x14ac:dyDescent="0.2">
      <c r="A14" s="7" t="s">
        <v>13</v>
      </c>
      <c r="B14" s="23">
        <f>Inputs!B20</f>
        <v>0.08</v>
      </c>
      <c r="C14" s="23">
        <f>B5</f>
        <v>8.0515978518822806E-2</v>
      </c>
      <c r="D14" s="49" t="str">
        <f>IF(C14&gt;=B14-0.000001,"✔","✘")</f>
        <v>✔</v>
      </c>
    </row>
    <row r="15" spans="1:4" x14ac:dyDescent="0.2">
      <c r="A15" s="7" t="s">
        <v>14</v>
      </c>
      <c r="B15" s="22">
        <f>Inputs!B21</f>
        <v>0.15</v>
      </c>
      <c r="C15" s="22">
        <f>B6</f>
        <v>0.14286148184667999</v>
      </c>
      <c r="D15" s="49" t="str">
        <f>IF(C15&lt;=B15+0.000001,"✔","✘")</f>
        <v>✔</v>
      </c>
    </row>
    <row r="16" spans="1:4" x14ac:dyDescent="0.2">
      <c r="A16" s="7" t="s">
        <v>15</v>
      </c>
      <c r="B16" s="22">
        <f>Inputs!B22</f>
        <v>0.26</v>
      </c>
      <c r="C16" s="22">
        <f>-B8</f>
        <v>0.25245467095483054</v>
      </c>
      <c r="D16" s="49" t="str">
        <f>IF(C16&lt;=B16+0.000001,"✔","✘")</f>
        <v>✔</v>
      </c>
    </row>
    <row r="17" spans="1:6" x14ac:dyDescent="0.2">
      <c r="A17" s="7" t="s">
        <v>16</v>
      </c>
      <c r="B17" s="22">
        <f>Inputs!B23</f>
        <v>0.2</v>
      </c>
      <c r="C17" s="22">
        <f>Inputs!B9</f>
        <v>0.2</v>
      </c>
      <c r="D17" s="49" t="str">
        <f>IF(C17&gt;=B17-0.000001,"✔","✘")</f>
        <v>✔</v>
      </c>
    </row>
    <row r="18" spans="1:6" x14ac:dyDescent="0.2">
      <c r="A18" s="7" t="s">
        <v>17</v>
      </c>
      <c r="B18" s="22">
        <f>Inputs!B24</f>
        <v>0.4</v>
      </c>
      <c r="C18" s="22">
        <f>MAX(Inputs!B6:B9)</f>
        <v>0.33750000000000002</v>
      </c>
      <c r="D18" s="49" t="str">
        <f>IF(C18&lt;=B18+0.000001,"✔","✘")</f>
        <v>✔</v>
      </c>
    </row>
    <row r="19" spans="1:6" x14ac:dyDescent="0.2">
      <c r="A19" s="7" t="s">
        <v>18</v>
      </c>
      <c r="B19" s="22">
        <f>Inputs!B25</f>
        <v>0.1</v>
      </c>
      <c r="C19" s="22">
        <f>MIN(Inputs!B6:B9)</f>
        <v>0.13250000000000001</v>
      </c>
      <c r="D19" s="49" t="str">
        <f>IF(C19&gt;=B19-0.000001,"✔","✘")</f>
        <v>✔</v>
      </c>
    </row>
    <row r="20" spans="1:6" x14ac:dyDescent="0.2">
      <c r="A20" s="7" t="s">
        <v>19</v>
      </c>
      <c r="B20" s="22">
        <v>1</v>
      </c>
      <c r="C20" s="22">
        <f>Inputs!B11</f>
        <v>1</v>
      </c>
      <c r="D20" s="49" t="str">
        <f>IF(ABS(C20-B20)&lt;0.0005,"✔","✘")</f>
        <v>✔</v>
      </c>
    </row>
    <row r="21" spans="1:6" x14ac:dyDescent="0.2">
      <c r="A21" s="9" t="s">
        <v>20</v>
      </c>
      <c r="B21" s="9" t="str">
        <f>IF(COUNTIF(D14:D20,"✘")=0,"✔ all respected","✘ check the allocation")</f>
        <v>✔ all respected</v>
      </c>
    </row>
    <row r="23" spans="1:6" ht="16" x14ac:dyDescent="0.2">
      <c r="A23" s="3" t="s">
        <v>21</v>
      </c>
    </row>
    <row r="24" spans="1:6" ht="32" customHeight="1" x14ac:dyDescent="0.2">
      <c r="A24" s="4" t="s">
        <v>22</v>
      </c>
      <c r="B24" s="5" t="s">
        <v>23</v>
      </c>
      <c r="C24" s="5" t="s">
        <v>24</v>
      </c>
      <c r="D24" s="5" t="s">
        <v>25</v>
      </c>
      <c r="E24" s="5" t="s">
        <v>26</v>
      </c>
      <c r="F24" s="5" t="s">
        <v>27</v>
      </c>
    </row>
    <row r="25" spans="1:6" x14ac:dyDescent="0.2">
      <c r="A25" s="7" t="str">
        <f>Portfolio!A6</f>
        <v>LMT</v>
      </c>
      <c r="B25" s="22">
        <f>Portfolio!B6</f>
        <v>0.13250000000000001</v>
      </c>
      <c r="C25" s="22">
        <f>Portfolio!F6</f>
        <v>8.2063823190312427E-2</v>
      </c>
      <c r="D25" s="22">
        <f>Portfolio!D6</f>
        <v>0.24975754522190735</v>
      </c>
      <c r="E25" s="19">
        <f>Portfolio!E6</f>
        <v>0.64127646380624848</v>
      </c>
      <c r="F25" s="37" t="str">
        <f>'Valuation and Bond'!B13</f>
        <v>Undervalued</v>
      </c>
    </row>
    <row r="26" spans="1:6" x14ac:dyDescent="0.2">
      <c r="A26" s="7" t="str">
        <f>Portfolio!A7</f>
        <v>TXN</v>
      </c>
      <c r="B26" s="22">
        <f>Portfolio!B7</f>
        <v>0.33</v>
      </c>
      <c r="C26" s="22">
        <f>Portfolio!F7</f>
        <v>0.10070148266524581</v>
      </c>
      <c r="D26" s="22">
        <f>Portfolio!D7</f>
        <v>0.27806152188289979</v>
      </c>
      <c r="E26" s="19">
        <f>Portfolio!E7</f>
        <v>1.0140296533049162</v>
      </c>
      <c r="F26" s="37" t="str">
        <f>'Valuation and Bond'!C13</f>
        <v>Overvalued</v>
      </c>
    </row>
    <row r="27" spans="1:6" x14ac:dyDescent="0.2">
      <c r="A27" s="7" t="str">
        <f>Portfolio!A8</f>
        <v>KO</v>
      </c>
      <c r="B27" s="22">
        <f>Portfolio!B8</f>
        <v>0.33750000000000002</v>
      </c>
      <c r="C27" s="22">
        <f>Portfolio!F8</f>
        <v>8.1340396188243458E-2</v>
      </c>
      <c r="D27" s="22">
        <f>Portfolio!D8</f>
        <v>0.19105681572441358</v>
      </c>
      <c r="E27" s="19">
        <f>Portfolio!E8</f>
        <v>0.62680792376486894</v>
      </c>
      <c r="F27" s="37" t="str">
        <f>'Valuation and Bond'!D13</f>
        <v>Overvalued</v>
      </c>
    </row>
    <row r="28" spans="1:6" x14ac:dyDescent="0.2">
      <c r="A28" s="7" t="str">
        <f>Portfolio!A9</f>
        <v>UST 5Y</v>
      </c>
      <c r="B28" s="22">
        <f>Portfolio!B9</f>
        <v>0.2</v>
      </c>
      <c r="C28" s="22">
        <f>Portfolio!F9</f>
        <v>5.0616263604411592E-2</v>
      </c>
      <c r="D28" s="22">
        <f>Portfolio!D9</f>
        <v>3.0955099755024043E-2</v>
      </c>
      <c r="E28" s="19">
        <f>Portfolio!E9</f>
        <v>1.2325272088231802E-2</v>
      </c>
      <c r="F28" s="37" t="str">
        <f>"Duration "&amp;TEXT('Valuation and Bond'!B44,"0.0")</f>
        <v>Duration 4.4</v>
      </c>
    </row>
    <row r="29" spans="1:6" x14ac:dyDescent="0.2">
      <c r="A29" s="7" t="str">
        <f>Portfolio!A10</f>
        <v>S&amp;P 500</v>
      </c>
      <c r="C29" s="22">
        <f>Portfolio!F10</f>
        <v>0.1</v>
      </c>
      <c r="D29" s="22">
        <f>Portfolio!D10</f>
        <v>0.17119302901329994</v>
      </c>
      <c r="E29" s="19">
        <f>Portfolio!E10</f>
        <v>1</v>
      </c>
    </row>
    <row r="30" spans="1:6" x14ac:dyDescent="0.2">
      <c r="A30" s="9" t="str">
        <f>Portfolio!A11</f>
        <v>Portfolio (4 assets)</v>
      </c>
      <c r="B30" s="24">
        <f>Portfolio!B11</f>
        <v>1</v>
      </c>
      <c r="C30" s="24">
        <f>Portfolio!F11</f>
        <v>8.1680582286662001E-2</v>
      </c>
      <c r="D30" s="24">
        <f>Portfolio!D11</f>
        <v>0.14286148184667999</v>
      </c>
      <c r="E30" s="25">
        <f>Portfolio!E11</f>
        <v>0.63361164573324014</v>
      </c>
    </row>
    <row r="33" spans="1:1" ht="16" x14ac:dyDescent="0.2">
      <c r="A33" s="3" t="s">
        <v>28</v>
      </c>
    </row>
    <row r="34" spans="1:1" x14ac:dyDescent="0.2">
      <c r="A34" s="9" t="s">
        <v>29</v>
      </c>
    </row>
    <row r="35" spans="1:1" x14ac:dyDescent="0.2">
      <c r="A35" s="7" t="s">
        <v>30</v>
      </c>
    </row>
    <row r="36" spans="1:1" x14ac:dyDescent="0.2">
      <c r="A36" s="9" t="s">
        <v>31</v>
      </c>
    </row>
    <row r="37" spans="1:1" x14ac:dyDescent="0.2">
      <c r="A37" s="7" t="s">
        <v>32</v>
      </c>
    </row>
    <row r="38" spans="1:1" x14ac:dyDescent="0.2">
      <c r="A38" s="7" t="s">
        <v>33</v>
      </c>
    </row>
    <row r="39" spans="1:1" x14ac:dyDescent="0.2">
      <c r="A39" s="7" t="s">
        <v>34</v>
      </c>
    </row>
    <row r="40" spans="1:1" x14ac:dyDescent="0.2">
      <c r="A40" s="9" t="s">
        <v>35</v>
      </c>
    </row>
    <row r="41" spans="1:1" x14ac:dyDescent="0.2">
      <c r="A41" s="7" t="str">
        <f>"• LMT (beta "&amp;TEXT(Portfolio!E6,"0.00")&amp;"): defence, stable cash flows. TXN (beta "&amp;TEXT(Portfolio!E7,"0.00")&amp;"): growth engine. KO (beta "&amp;TEXT(Portfolio!E8,"0.00")&amp;"): defensive dividend payer."</f>
        <v>• LMT (beta 0.64): defence, stable cash flows. TXN (beta 1.01): growth engine. KO (beta 0.63): defensive dividend payer.</v>
      </c>
    </row>
    <row r="42" spans="1:1" x14ac:dyDescent="0.2">
      <c r="A42" s="7" t="str">
        <f>"• The Treasury ("&amp;TEXT(Inputs!B9,"0%")&amp;") barely moves with the stocks; the stocks have correlations of "&amp;TEXT(MIN(Portfolio!C16,Portfolio!D16,Portfolio!D17),"0.00")&amp;" to "&amp;TEXT(MAX(Portfolio!C16,Portfolio!D16,Portfolio!D17),"0.00")&amp;"."</f>
        <v>• The Treasury (20%) barely moves with the stocks; the stocks have correlations of 0.23 to 0.44.</v>
      </c>
    </row>
    <row r="43" spans="1:1" x14ac:dyDescent="0.2">
      <c r="A43" s="9" t="s">
        <v>36</v>
      </c>
    </row>
    <row r="44" spans="1:1" x14ac:dyDescent="0.2">
      <c r="A44" s="7" t="str">
        <f>"• A market crash: the "&amp;TEXT(Risk!E6,"0%")&amp;" scenario costs "&amp;TEXT(-Risk!E14,"0.0%")&amp;" of the portfolio with the put (about USD "&amp;TEXT(-Risk!E15,"#,##0")&amp;")."</f>
        <v>• A market crash: the -20% scenario costs 12.8% of the portfolio with the put (about USD 128,437).</v>
      </c>
    </row>
    <row r="45" spans="1:1" x14ac:dyDescent="0.2">
      <c r="A45" s="7" t="str">
        <f>"• It lagged the S&amp;P 500 over 2016–26: "&amp;TEXT(Portfolio!C11,"0.0%")&amp;" a year against "&amp;TEXT(Portfolio!C10,"0.0%")&amp;" (prices only)."</f>
        <v>• It lagged the S&amp;P 500 over 2016–26: 10.7% a year against 14.4% (prices only).</v>
      </c>
    </row>
    <row r="46" spans="1:1" x14ac:dyDescent="0.2">
      <c r="A46" s="7" t="str">
        <f>"• Valuation: the Gordon model says LMT is "&amp;LOWER('Valuation and Bond'!B13)&amp;", TXN "&amp;LOWER('Valuation and Bond'!C13)&amp;" and KO "&amp;LOWER('Valuation and Bond'!D13)&amp;"."</f>
        <v>• Valuation: the Gordon model says LMT is undervalued, TXN overvalued and KO overvalued.</v>
      </c>
    </row>
    <row r="47" spans="1:1" x14ac:dyDescent="0.2">
      <c r="A47" s="7" t="str">
        <f>"• Thin margin: after the put the expected return is only "&amp;TEXT((B5-Inputs!B20)*100,"0.00")&amp;" point above the target."</f>
        <v>• Thin margin: after the put the expected return is only 0.05 point above the target.</v>
      </c>
    </row>
    <row r="48" spans="1:1" x14ac:dyDescent="0.2">
      <c r="A48" s="7" t="s">
        <v>37</v>
      </c>
    </row>
  </sheetData>
  <conditionalFormatting sqref="D14:D20">
    <cfRule type="expression" dxfId="1" priority="1">
      <formula>D14="✔"</formula>
    </cfRule>
    <cfRule type="expression" dxfId="0" priority="2">
      <formula>D14="✘"</formula>
    </cfRule>
  </conditionalFormatting>
  <pageMargins left="0.75" right="0.75" top="1" bottom="1" header="0.5" footer="0.5"/>
  <pageSetup fitToHeight="0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Inputs</vt:lpstr>
      <vt:lpstr>Data</vt:lpstr>
      <vt:lpstr>Portfolio</vt:lpstr>
      <vt:lpstr>Valuation and Bond</vt:lpstr>
      <vt:lpstr>Risk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enzo neveu</cp:lastModifiedBy>
  <dcterms:created xsi:type="dcterms:W3CDTF">2026-10-19T14:54:21Z</dcterms:created>
  <dcterms:modified xsi:type="dcterms:W3CDTF">2026-10-19T17:24:03Z</dcterms:modified>
</cp:coreProperties>
</file>